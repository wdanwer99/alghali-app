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تعليمات" sheetId="1" r:id="rId1"/>
    <sheet name="الإجابات" sheetId="2" r:id="rId2"/>
    <sheet name="الملخص" sheetId="3" r:id="rId3"/>
    <sheet name="القوائم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<sst xmlns="http://schemas.openxmlformats.org/spreadsheetml/2006/main" count="889" uniqueCount="346">
  <si>
    <t>جدول تجميع استبيان أصحاب المحلات — منصة شارع الغالي</t>
  </si>
  <si>
    <t/>
  </si>
  <si>
    <t>كيف تُدخل استمارة؟</t>
  </si>
  <si>
    <t>1. في ورقة «الإجابات» كل صف = استمارة واحدة. ابدأ من الصف 4. الصف 3 (الرمادي) مثال فقط ولا يدخل في الحسابات.</t>
  </si>
  <si>
    <t>2. اكتب رقم الاستمارة في العمود الأول دائمًا؛ الصف بدون رقم استمارة لا يُحسب في «عدد الاستمارات».</t>
  </si>
  <si>
    <t>3. أسئلة الاختيار الواحد: اختر الإجابة من القائمة المنسدلة (لا تكتبها بيدك).</t>
  </si>
  <si>
    <t>4. أسئلة الاختيار المتعدد (س4، س5، س6، س9، س10، س22، س30، س40): اكتب 1 تحت كل خيار اختاره صاحب المحل، واترك الباقي فارغًا.</t>
  </si>
  <si>
    <t>5. س35 (ترتيب المشاكل): اكتب 1 تحت أهم مشكلة، و2 تحت الثانية، و3 تحت الثالثة. اترك البقية فارغة.</t>
  </si>
  <si>
    <t>6. س21 (نسب الدفع): اكتب أرقامًا فقط من 0 إلى 100، ويُفضّل أن يكون مجموعها 100.</t>
  </si>
  <si>
    <t>7. س32 وس38: رقم من 1 إلى 5. س43: المبلغ بالجنيه رقمًا فقط (مثل 10000).</t>
  </si>
  <si>
    <t>8. الأسئلة المفتوحة (س27، س34، س36، س37): انسخ كلام صاحب المحل كما كتبه الباحث، دون تلخيص.</t>
  </si>
  <si>
    <t>9. إذا لم يُجب صاحب المحل عن سؤال، اترك الخانة فارغة.</t>
  </si>
  <si>
    <t>أين أجد النتائج؟</t>
  </si>
  <si>
    <t>ورقة «الملخص» تُحسب تلقائيًا: أهم المشاكل مرتبة بالنقاط، وطريقة الدفع المفضلة، ونسبة من يقبل عمولة 3% أو 5%، والاشتراك الشهري المقبول، ثم كل سؤال بالتفصيل.</t>
  </si>
  <si>
    <t>لا تكتب في ورقة «الملخص» ولا في ورقة «القوائم».</t>
  </si>
  <si>
    <t>تنبيه عن الخصوصية</t>
  </si>
  <si>
    <t>أعمدة «بيانات التواصل» فيها أرقام هواتف أشخاص. احفظ الملف في مكان آمن ولا ترسله إلا لفريق العمل.</t>
  </si>
  <si>
    <t>بيانات المقابلة</t>
  </si>
  <si>
    <t>س1. منذ متى يعمل المحل</t>
  </si>
  <si>
    <t>س2. صفة المجيب</t>
  </si>
  <si>
    <t>س3. عدد العاملين</t>
  </si>
  <si>
    <t>س4. ما يبيعه المحل</t>
  </si>
  <si>
    <t>س5. نوع القطع</t>
  </si>
  <si>
    <t>س6. أنواع العربيات</t>
  </si>
  <si>
    <t>س7. عدد الأصناف</t>
  </si>
  <si>
    <t>س8. الزبائن في اليوم</t>
  </si>
  <si>
    <t>س9. مصادر الزبائن</t>
  </si>
  <si>
    <t>س10. كيف يسأل الزبون</t>
  </si>
  <si>
    <t>س11. السؤال عن قطع غير موجودة</t>
  </si>
  <si>
    <t>س12. عند عدم توفر القطعة</t>
  </si>
  <si>
    <t>س13. زبون لا يعرف اسم القطعة</t>
  </si>
  <si>
    <t>س14. وقت الرد على الأسئلة يوميًا</t>
  </si>
  <si>
    <t>س15. التوصيل خارج الشارع</t>
  </si>
  <si>
    <t>س16. تغيّر الأسعار</t>
  </si>
  <si>
    <t>س17. معرفة المخزون</t>
  </si>
  <si>
    <t>س18. البيع بسعر قديم</t>
  </si>
  <si>
    <t>س19. تحديد السعر</t>
  </si>
  <si>
    <t>س20. ظهور الأسعار على الإنترنت</t>
  </si>
  <si>
    <t>س21. نسب طرق الدفع (%)</t>
  </si>
  <si>
    <t>س22. مشاكل تحويلات بنكك</t>
  </si>
  <si>
    <t>س23. البيع بالدين</t>
  </si>
  <si>
    <t>س24. طلب التركيب</t>
  </si>
  <si>
    <t>س25. من يركّب</t>
  </si>
  <si>
    <t>س26. شكاوى «ما ركبت»</t>
  </si>
  <si>
    <t>س27. التعامل مع الإرجاع</t>
  </si>
  <si>
    <t>س28. الهاتف المستخدم</t>
  </si>
  <si>
    <t>س29. شبكة الإنترنت</t>
  </si>
  <si>
    <t>س30. التطبيقات المستخدمة</t>
  </si>
  <si>
    <t>س31. البريد الإلكتروني</t>
  </si>
  <si>
    <t>س32. الراحة مع التطبيقات (1–5)</t>
  </si>
  <si>
    <t>س33. من سيستخدم التطبيق</t>
  </si>
  <si>
    <t>س34. أكبر مشكلة (بكلامه)</t>
  </si>
  <si>
    <t>س35. ترتيب أهم 3 مشاكل (1–3)</t>
  </si>
  <si>
    <t>س36. الحاجة الواحدة التي يتمنى تغييرها</t>
  </si>
  <si>
    <t>س37. تجربة سابقة مع تطبيق أو موقع</t>
  </si>
  <si>
    <t>س38. الاهتمام بالفكرة (1–5)</t>
  </si>
  <si>
    <t>س39. أهمية الميزات</t>
  </si>
  <si>
    <t>س40. المخاوف</t>
  </si>
  <si>
    <t>س41. طريقة الدفع المفضلة</t>
  </si>
  <si>
    <t>س42. أعلى عمولة يقبلها</t>
  </si>
  <si>
    <t>س43. أعلى اشتراك شهري يقبله (جنيه)</t>
  </si>
  <si>
    <t>س44. يريد أن يكون من أول المحلات</t>
  </si>
  <si>
    <t>س45. يسمح بالتواصل لاحقًا</t>
  </si>
  <si>
    <t>بيانات التواصل</t>
  </si>
  <si>
    <t>ملاحظات الباحث</t>
  </si>
  <si>
    <t>رقم الاستمارة</t>
  </si>
  <si>
    <t>اسم الباحث</t>
  </si>
  <si>
    <t>التاريخ</t>
  </si>
  <si>
    <t>المنطقة / رقم المحل</t>
  </si>
  <si>
    <t>مدة المقابلة (دقائق)</t>
  </si>
  <si>
    <t>موافقة صاحب المحل</t>
  </si>
  <si>
    <t>الإجابة</t>
  </si>
  <si>
    <t>إضاءة ولمبات</t>
  </si>
  <si>
    <t>كهرباء وبطاريات</t>
  </si>
  <si>
    <t>تكييف</t>
  </si>
  <si>
    <t>عفشة وتعليق</t>
  </si>
  <si>
    <t>فرامل</t>
  </si>
  <si>
    <t>زيوت وفلاتر</t>
  </si>
  <si>
    <t>قطع ماكينة</t>
  </si>
  <si>
    <t>صوت وشاشات</t>
  </si>
  <si>
    <t>إكسسوارات داخلية وخارجية</t>
  </si>
  <si>
    <t>إطارات وجنوط</t>
  </si>
  <si>
    <t>زجاج ومرايات</t>
  </si>
  <si>
    <t>أخرى (اكتبها)</t>
  </si>
  <si>
    <t>جديد أصلي (وكالة)</t>
  </si>
  <si>
    <t>جديد تجاري</t>
  </si>
  <si>
    <t>مستعمل (تشليح)</t>
  </si>
  <si>
    <t>تويوتا</t>
  </si>
  <si>
    <t>هيونداي</t>
  </si>
  <si>
    <t>كيا</t>
  </si>
  <si>
    <t>نيسان</t>
  </si>
  <si>
    <t>ميتسوبيشي</t>
  </si>
  <si>
    <t>إيسوزو</t>
  </si>
  <si>
    <t>جميع الأنواع</t>
  </si>
  <si>
    <t>زبائن قدامى معروفون</t>
  </si>
  <si>
    <t>مارّون في الشارع</t>
  </si>
  <si>
    <t>بتوصية من معارف</t>
  </si>
  <si>
    <t>ميكانيكيون وفنيون يحضرونهم</t>
  </si>
  <si>
    <t>من فيسبوك أو واتساب</t>
  </si>
  <si>
    <t>من خارج المدينة</t>
  </si>
  <si>
    <t>يحضر بنفسه</t>
  </si>
  <si>
    <t>مكالمة هاتفية</t>
  </si>
  <si>
    <t>رسالة أو صورة على واتساب</t>
  </si>
  <si>
    <t>يرسل ميكانيكي أو مندوب</t>
  </si>
  <si>
    <t>تفاصيل</t>
  </si>
  <si>
    <t>السبب</t>
  </si>
  <si>
    <t>كاش %</t>
  </si>
  <si>
    <t>بنكك %</t>
  </si>
  <si>
    <t>تطبيق أو بنك آخر %</t>
  </si>
  <si>
    <t>دين (آجل) %</t>
  </si>
  <si>
    <t>إشعار مزوّر أو غير حقيقي</t>
  </si>
  <si>
    <t>تحويل تأخر وصوله</t>
  </si>
  <si>
    <t>مبلغ ناقص</t>
  </si>
  <si>
    <t>صعوبة التأكد من وصول التحويل</t>
  </si>
  <si>
    <t>لم أواجه مشاكل</t>
  </si>
  <si>
    <t>الإجابة بكلامه</t>
  </si>
  <si>
    <t>واتساب</t>
  </si>
  <si>
    <t>فيسبوك</t>
  </si>
  <si>
    <t>بنكك</t>
  </si>
  <si>
    <t>تيك توك</t>
  </si>
  <si>
    <t>إكسل أو برنامج محاسبة</t>
  </si>
  <si>
    <t>لا شيء</t>
  </si>
  <si>
    <t>من 1 إلى 5</t>
  </si>
  <si>
    <t>قلة الزبائن الجدد</t>
  </si>
  <si>
    <t>زبائن يسألون عن قطع غير موجودة عندي</t>
  </si>
  <si>
    <t>تغيّر الأسعار وصعوبة متابعتها</t>
  </si>
  <si>
    <t>ضياع الوقت في الرد على الأسئلة بالهاتف</t>
  </si>
  <si>
    <t>معرفة المخزون والكميات</t>
  </si>
  <si>
    <t>مشاكل الدفع والتحويلات</t>
  </si>
  <si>
    <t>الدين وصعوبة التحصيل</t>
  </si>
  <si>
    <t>إرجاع القطع والشكاوى</t>
  </si>
  <si>
    <t>إيجاد فني موثوق للتركيب</t>
  </si>
  <si>
    <t>المنافسة بين المحلات</t>
  </si>
  <si>
    <t>الحصول على البضاعة من الموردين</t>
  </si>
  <si>
    <t>أخرى</t>
  </si>
  <si>
    <t>أخرى: ما هي؟</t>
  </si>
  <si>
    <t>زبائن جدد يجدون محلي بالبحث</t>
  </si>
  <si>
    <t>طلبات تسعير بالصورة</t>
  </si>
  <si>
    <t>تحديث الأسعار بسرعة</t>
  </si>
  <si>
    <t>متابعة المخزون والكميات</t>
  </si>
  <si>
    <t>حجز فني لتركيب القطعة</t>
  </si>
  <si>
    <t>التأكد من تحويلات بنكك</t>
  </si>
  <si>
    <t>كشف حساب بالمبيعات والأرباح</t>
  </si>
  <si>
    <t>حسابات للموظفين</t>
  </si>
  <si>
    <t>توصيل القطع للزبائن</t>
  </si>
  <si>
    <t>التكلفة</t>
  </si>
  <si>
    <t>الثقة في وصول القروش</t>
  </si>
  <si>
    <t>ظهور أسعاري للمنافسين</t>
  </si>
  <si>
    <t>صعوبة الاستخدام</t>
  </si>
  <si>
    <t>ضياع الوقت</t>
  </si>
  <si>
    <t>ضعف الإنترنت</t>
  </si>
  <si>
    <t>المبلغ بالجنيه</t>
  </si>
  <si>
    <t>الاسم (اختياري)</t>
  </si>
  <si>
    <t>الهاتف / واتساب (اختياري)</t>
  </si>
  <si>
    <t>اسم المحل (اختياري)</t>
  </si>
  <si>
    <t>حجم المحل</t>
  </si>
  <si>
    <t>تنظيم المحل والبضاعة</t>
  </si>
  <si>
    <t>راحة صاحب المحل مع الهاتف</t>
  </si>
  <si>
    <t>مكانته وتأثيره</t>
  </si>
  <si>
    <t>اهتمامه الحقيقي بالفكرة</t>
  </si>
  <si>
    <t>كان مستعجلًا أثناء المقابلة</t>
  </si>
  <si>
    <t>أهم ما لفت الانتباه</t>
  </si>
  <si>
    <t>مثال</t>
  </si>
  <si>
    <t>أحمد</t>
  </si>
  <si>
    <t>2026-10-20</t>
  </si>
  <si>
    <t>المنطقة 2 / محل 14</t>
  </si>
  <si>
    <t>نعم</t>
  </si>
  <si>
    <t>6–10 سنوات</t>
  </si>
  <si>
    <t>شريك</t>
  </si>
  <si>
    <t>أكثر من 5</t>
  </si>
  <si>
    <t>أقل من 100</t>
  </si>
  <si>
    <t>أقل من 5</t>
  </si>
  <si>
    <t>أغلب الزبائن</t>
  </si>
  <si>
    <t>أعتذر ويذهب الزبون</t>
  </si>
  <si>
    <t>يحضر القطعة القديمة</t>
  </si>
  <si>
    <t>يرسل صورة على واتساب غالبًا</t>
  </si>
  <si>
    <t>أقل من ساعة</t>
  </si>
  <si>
    <t>نعم، بنفسي أو بموظف</t>
  </si>
  <si>
    <t>نادرًا</t>
  </si>
  <si>
    <t>من ذاكرتي</t>
  </si>
  <si>
    <t>أحيانًا</t>
  </si>
  <si>
    <t>حسب سعر الشراء + ربح ثابت</t>
  </si>
  <si>
    <t>أمانع جدًا</t>
  </si>
  <si>
    <t>أبيع وأجد صعوبة في التحصيل</t>
  </si>
  <si>
    <t>فني في الشارع أتعامل معه</t>
  </si>
  <si>
    <t>كثيرًا</t>
  </si>
  <si>
    <t>مثال: الزبون يرجع القطعة إذا ما ركبت، وأخسر وقتي</t>
  </si>
  <si>
    <t>هاتف عادي (غير ذكي)</t>
  </si>
  <si>
    <t>ضعيفة جدًا</t>
  </si>
  <si>
    <t>لا</t>
  </si>
  <si>
    <t>موظف في المحل</t>
  </si>
  <si>
    <t>غير مهمة</t>
  </si>
  <si>
    <t>مهمة</t>
  </si>
  <si>
    <t>اشتراك شهري ثابت</t>
  </si>
  <si>
    <t>نسبة 3%</t>
  </si>
  <si>
    <t>(اختياري)</t>
  </si>
  <si>
    <t>متوسط</t>
  </si>
  <si>
    <t>غير منظم</t>
  </si>
  <si>
    <t>متوسطة</t>
  </si>
  <si>
    <t>عادي</t>
  </si>
  <si>
    <t>ضعيف</t>
  </si>
  <si>
    <t>مؤثر في المنطقة، مهتم جدًا بطلبات التسعير بالصورة</t>
  </si>
  <si>
    <t>ملخص استبيان أصحاب المحلات</t>
  </si>
  <si>
    <t>كل الأرقام في هذه الورقة تُحسب تلقائيًا من ورقة «الإجابات». لا تكتب فيها.</t>
  </si>
  <si>
    <t>أهم النتائج</t>
  </si>
  <si>
    <t>عدد الاستمارات المُدخلة</t>
  </si>
  <si>
    <t>متوسط مدة المقابلة (دقائق)</t>
  </si>
  <si>
    <t>أهم المشاكل (س35)</t>
  </si>
  <si>
    <t>النقاط: المرتبة الأولى = 3 نقاط، الثانية = 2، الثالثة = 1. «ذكرها» = عدد من رتّبها ضمن أهم 3.</t>
  </si>
  <si>
    <t>المشكلة</t>
  </si>
  <si>
    <t>النقاط</t>
  </si>
  <si>
    <t>ذكرها</t>
  </si>
  <si>
    <t>% من الاستمارات</t>
  </si>
  <si>
    <t>الترتيب</t>
  </si>
  <si>
    <t>أعلى 5 مشاكل</t>
  </si>
  <si>
    <t>الخيار</t>
  </si>
  <si>
    <t>العدد</t>
  </si>
  <si>
    <t>النسبة</t>
  </si>
  <si>
    <t>نسبة صغيرة من كل بيعة تتم عبر التطبيق</t>
  </si>
  <si>
    <t>مجاني مع إعلانات</t>
  </si>
  <si>
    <t>لا أدفع إطلاقًا</t>
  </si>
  <si>
    <t>عدد من أجاب</t>
  </si>
  <si>
    <t>الأكثر تفضيلًا</t>
  </si>
  <si>
    <t>نسبة 1–2%</t>
  </si>
  <si>
    <t>نسبة 5%</t>
  </si>
  <si>
    <t>أكثر من 5%</t>
  </si>
  <si>
    <t>لا أقبل نسبة</t>
  </si>
  <si>
    <t>يقبلون 3% أو أكثر</t>
  </si>
  <si>
    <t>يقبلون 5% أو أكثر</t>
  </si>
  <si>
    <t>المقياس</t>
  </si>
  <si>
    <t>القيمة</t>
  </si>
  <si>
    <t>عدد من ذكر مبلغًا</t>
  </si>
  <si>
    <t>الوسيط (القيمة في المنتصف)</t>
  </si>
  <si>
    <t>المتوسط</t>
  </si>
  <si>
    <t>أقل مبلغ</t>
  </si>
  <si>
    <t>أعلى مبلغ</t>
  </si>
  <si>
    <t>أقل من سنة</t>
  </si>
  <si>
    <t>1–5 سنوات</t>
  </si>
  <si>
    <t>أكثر من 10 سنوات</t>
  </si>
  <si>
    <t>صاحب المحل</t>
  </si>
  <si>
    <t>ابن أو قريب صاحب المحل</t>
  </si>
  <si>
    <t>موظف</t>
  </si>
  <si>
    <t>1</t>
  </si>
  <si>
    <t>2</t>
  </si>
  <si>
    <t>3–5</t>
  </si>
  <si>
    <t>اختيار متعدد: النسبة من عدد الاستمارات.</t>
  </si>
  <si>
    <t>كتب «أخرى»</t>
  </si>
  <si>
    <t>100–500</t>
  </si>
  <si>
    <t>500–2,000</t>
  </si>
  <si>
    <t>أكثر من 2,000</t>
  </si>
  <si>
    <t>لا أعرف</t>
  </si>
  <si>
    <t>5–15</t>
  </si>
  <si>
    <t>16–30</t>
  </si>
  <si>
    <t>أكثر من 30</t>
  </si>
  <si>
    <t>مرة أو مرتين في اليوم</t>
  </si>
  <si>
    <t>عدة مرات في اليوم</t>
  </si>
  <si>
    <t>أدلّه على محل آخر</t>
  </si>
  <si>
    <t>أجلبها من محل آخر وأبيعها له</t>
  </si>
  <si>
    <t>أطلبها وأقول له يرجع بعدين</t>
  </si>
  <si>
    <t>يرسل صورة</t>
  </si>
  <si>
    <t>يصفها بالكلام</t>
  </si>
  <si>
    <t>نادرًا ما يحدث</t>
  </si>
  <si>
    <t>تقريبًا لا شيء</t>
  </si>
  <si>
    <t>1–2 ساعة</t>
  </si>
  <si>
    <t>أكثر من ساعتين</t>
  </si>
  <si>
    <t>نعم، عبر ركشة أو مواصلات</t>
  </si>
  <si>
    <t>يوميًا</t>
  </si>
  <si>
    <t>أسبوعيًا</t>
  </si>
  <si>
    <t>شهريًا</t>
  </si>
  <si>
    <t>دفتر</t>
  </si>
  <si>
    <t>برنامج أو إكسل على الكمبيوتر</t>
  </si>
  <si>
    <t>تطبيق على الهاتف</t>
  </si>
  <si>
    <t>أبدًا</t>
  </si>
  <si>
    <t>حسب أسعار الجيران</t>
  </si>
  <si>
    <t>حسب سعر الصرف (الدولار)</t>
  </si>
  <si>
    <t>حسب الزبون</t>
  </si>
  <si>
    <t>لا أمانع</t>
  </si>
  <si>
    <t>أمانع قليلًا</t>
  </si>
  <si>
    <t>متوسط النسبة التي ذكرها أصحاب المحلات لكل طريقة دفع.</t>
  </si>
  <si>
    <t>طريقة الدفع</t>
  </si>
  <si>
    <t>متوسط النسبة</t>
  </si>
  <si>
    <t>محلات تستخدمها</t>
  </si>
  <si>
    <t>كاش</t>
  </si>
  <si>
    <t>تطبيق أو بنك آخر</t>
  </si>
  <si>
    <t>دين (آجل)</t>
  </si>
  <si>
    <t>لا أبيع بالدين</t>
  </si>
  <si>
    <t>أبيع ولا مشاكل</t>
  </si>
  <si>
    <t>دائمًا</t>
  </si>
  <si>
    <t>فني يعمل معي</t>
  </si>
  <si>
    <t>الزبون يتصرف بنفسه</t>
  </si>
  <si>
    <t>سؤال مفتوح: اقرأ الإجابات في ورقة «الإجابات» وصنّفها يدويًا.</t>
  </si>
  <si>
    <t>هاتف ذكي أندرويد</t>
  </si>
  <si>
    <t>آيفون</t>
  </si>
  <si>
    <t>جيدة أغلب الوقت</t>
  </si>
  <si>
    <t>متقطعة</t>
  </si>
  <si>
    <t>نعم وأستخدمه</t>
  </si>
  <si>
    <t>عندي لكن لا أستخدمه</t>
  </si>
  <si>
    <t>الدرجة</t>
  </si>
  <si>
    <t>3</t>
  </si>
  <si>
    <t>4</t>
  </si>
  <si>
    <t>5</t>
  </si>
  <si>
    <t>المتوسط (من 5)</t>
  </si>
  <si>
    <t>أنا بنفسي</t>
  </si>
  <si>
    <t>ابني أو قريبي</t>
  </si>
  <si>
    <t>النقاط: «مهمة جدًا» = 2، «مهمة» = 1. الأعلى نقاطًا هو الأهم لأصحاب المحلات.</t>
  </si>
  <si>
    <t>الميزة</t>
  </si>
  <si>
    <t>مهمة جدًا</t>
  </si>
  <si>
    <t>% مهمة جدًا</t>
  </si>
  <si>
    <t>نعم بالتأكيد</t>
  </si>
  <si>
    <t>ربما، أريد أن أرى أولًا</t>
  </si>
  <si>
    <t>صغير</t>
  </si>
  <si>
    <t>كبير</t>
  </si>
  <si>
    <t>منظم</t>
  </si>
  <si>
    <t>عالية</t>
  </si>
  <si>
    <t>ضعيفة</t>
  </si>
  <si>
    <t>مؤثر</t>
  </si>
  <si>
    <t>عالٍ</t>
  </si>
  <si>
    <t>نعم/لا</t>
  </si>
  <si>
    <t>س1</t>
  </si>
  <si>
    <t>س2</t>
  </si>
  <si>
    <t>س3</t>
  </si>
  <si>
    <t>س7</t>
  </si>
  <si>
    <t>س8</t>
  </si>
  <si>
    <t>س11</t>
  </si>
  <si>
    <t>س12</t>
  </si>
  <si>
    <t>س13</t>
  </si>
  <si>
    <t>س14</t>
  </si>
  <si>
    <t>س15</t>
  </si>
  <si>
    <t>س16</t>
  </si>
  <si>
    <t>س17</t>
  </si>
  <si>
    <t>س18</t>
  </si>
  <si>
    <t>س19</t>
  </si>
  <si>
    <t>س20</t>
  </si>
  <si>
    <t>س23</t>
  </si>
  <si>
    <t>س24</t>
  </si>
  <si>
    <t>س25</t>
  </si>
  <si>
    <t>س26</t>
  </si>
  <si>
    <t>س28</t>
  </si>
  <si>
    <t>س29</t>
  </si>
  <si>
    <t>س31</t>
  </si>
  <si>
    <t>س33</t>
  </si>
  <si>
    <t>س39</t>
  </si>
  <si>
    <t>س41</t>
  </si>
  <si>
    <t>س42</t>
  </si>
  <si>
    <t>س44</t>
  </si>
  <si>
    <t>س45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</si>
</sst>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5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b/>
      <sz val="16"/>
      <color rgb="FF1F2937"/>
      <name val="Arial"/>
      <charset val="134"/>
    </font>
    <font>
      <sz val="10"/>
      <color rgb="FF6B7280"/>
      <name val="Arial"/>
      <charset val="134"/>
    </font>
    <font>
      <b/>
      <sz val="13"/>
      <color rgb="FFFFFFFF"/>
      <name val="Arial"/>
      <charset val="134"/>
    </font>
    <font>
      <sz val="11"/>
      <color rgb="FF1F2937"/>
      <name val="Arial"/>
      <charset val="134"/>
    </font>
    <font>
      <b/>
      <sz val="11"/>
      <color rgb="FF1F2937"/>
      <name val="Arial"/>
      <charset val="134"/>
    </font>
    <font>
      <sz val="8"/>
      <color rgb="FFFFFFFF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i/>
      <sz val="10"/>
      <color rgb="FF6B7280"/>
      <name val="Arial"/>
      <charset val="134"/>
    </font>
    <font>
      <sz val="10"/>
      <name val="Arial"/>
      <charset val="134"/>
    </font>
    <font>
      <b/>
      <sz val="16"/>
      <name val="Arial"/>
      <charset val="134"/>
    </font>
    <font>
      <b/>
      <sz val="1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4B5563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9" borderId="5" applyNumberFormat="0" applyAlignment="0" applyProtection="0">
      <alignment vertical="center"/>
    </xf>
    <xf numFmtId="0" fontId="27" fillId="10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center" wrapText="1" readingOrder="2"/>
    </xf>
    <xf numFmtId="0" fontId="4" fillId="0" borderId="0" xfId="0" applyFont="1" applyAlignment="1">
      <alignment horizontal="right" vertical="center" wrapText="1" readingOrder="2"/>
    </xf>
    <xf numFmtId="0" fontId="5" fillId="2" borderId="0" xfId="0" applyFont="1" applyFill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1" fontId="6" fillId="0" borderId="1" xfId="0" applyNumberFormat="1" applyFont="1" applyBorder="1" applyAlignment="1">
      <alignment horizontal="center" vertical="center" wrapText="1" readingOrder="2"/>
    </xf>
    <xf numFmtId="0" fontId="7" fillId="3" borderId="1" xfId="0" applyFont="1" applyFill="1" applyBorder="1" applyAlignment="1">
      <alignment horizontal="center" vertical="center" wrapText="1" readingOrder="2"/>
    </xf>
    <xf numFmtId="9" fontId="6" fillId="0" borderId="1" xfId="0" applyNumberFormat="1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wrapText="1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3" fontId="6" fillId="0" borderId="1" xfId="0" applyNumberFormat="1" applyFont="1" applyBorder="1" applyAlignment="1">
      <alignment horizontal="center" vertical="center" wrapText="1" readingOrder="2"/>
    </xf>
    <xf numFmtId="178" fontId="6" fillId="0" borderId="1" xfId="0" applyNumberFormat="1" applyFont="1" applyBorder="1" applyAlignment="1">
      <alignment horizontal="center" vertical="center" wrapText="1" readingOrder="2"/>
    </xf>
    <xf numFmtId="0" fontId="9" fillId="4" borderId="1" xfId="0" applyFont="1" applyFill="1" applyBorder="1" applyAlignment="1">
      <alignment horizontal="center" vertical="center" wrapText="1" readingOrder="2"/>
    </xf>
    <xf numFmtId="0" fontId="0" fillId="4" borderId="1" xfId="0" applyFill="1" applyBorder="1"/>
    <xf numFmtId="0" fontId="9" fillId="5" borderId="1" xfId="0" applyFont="1" applyFill="1" applyBorder="1" applyAlignment="1">
      <alignment horizontal="center" vertical="center" wrapText="1" readingOrder="2"/>
    </xf>
    <xf numFmtId="0" fontId="0" fillId="5" borderId="1" xfId="0" applyFill="1" applyBorder="1"/>
    <xf numFmtId="0" fontId="10" fillId="2" borderId="1" xfId="0" applyFont="1" applyFill="1" applyBorder="1" applyAlignment="1">
      <alignment horizontal="center" vertical="center" wrapText="1" readingOrder="2"/>
    </xf>
    <xf numFmtId="0" fontId="11" fillId="6" borderId="1" xfId="0" applyFont="1" applyFill="1" applyBorder="1" applyAlignment="1">
      <alignment horizontal="right" vertical="center" wrapText="1" readingOrder="2"/>
    </xf>
    <xf numFmtId="0" fontId="11" fillId="6" borderId="1" xfId="0" applyFont="1" applyFill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right" vertical="center" wrapText="1" readingOrder="2"/>
    </xf>
    <xf numFmtId="0" fontId="13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14" fillId="0" borderId="0" xfId="0" applyFont="1" applyAlignment="1">
      <alignment horizontal="right" vertical="center" wrapText="1" readingOrder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أهم المشاكل (النقاط)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الملخص!$B$8</c:f>
              <c:strCache>
                <c:ptCount val="1"/>
                <c:pt idx="0">
                  <c:v>النقاط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الملخص!$A$9:$A$20</c:f>
              <c:strCache>
                <c:ptCount val="12"/>
                <c:pt idx="0">
                  <c:v>قلة الزبائن الجدد</c:v>
                </c:pt>
                <c:pt idx="1">
                  <c:v>زبائن يسألون عن قطع غير موجودة عندي</c:v>
                </c:pt>
                <c:pt idx="2">
                  <c:v>تغيّر الأسعار وصعوبة متابعتها</c:v>
                </c:pt>
                <c:pt idx="3">
                  <c:v>ضياع الوقت في الرد على الأسئلة بالهاتف</c:v>
                </c:pt>
                <c:pt idx="4">
                  <c:v>معرفة المخزون والكميات</c:v>
                </c:pt>
                <c:pt idx="5">
                  <c:v>مشاكل الدفع والتحويلات</c:v>
                </c:pt>
                <c:pt idx="6">
                  <c:v>الدين وصعوبة التحصيل</c:v>
                </c:pt>
                <c:pt idx="7">
                  <c:v>إرجاع القطع والشكاوى</c:v>
                </c:pt>
                <c:pt idx="8">
                  <c:v>إيجاد فني موثوق للتركيب</c:v>
                </c:pt>
                <c:pt idx="9">
                  <c:v>المنافسة بين المحلات</c:v>
                </c:pt>
                <c:pt idx="10">
                  <c:v>الحصول على البضاعة من الموردين</c:v>
                </c:pt>
                <c:pt idx="11">
                  <c:v>أخرى</c:v>
                </c:pt>
              </c:strCache>
            </c:strRef>
          </c:cat>
          <c:val>
            <c:numRef>
              <c:f>الملخص!$B$9:$B$20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ff47a9e-d6d5-4c51-b92f-690490e8c46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أعلى عمولة يقبلها أصحاب المحلات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الملخص!$B$37</c:f>
              <c:strCache>
                <c:ptCount val="1"/>
                <c:pt idx="0">
                  <c:v>العدد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الملخص!$A$38:$A$42</c:f>
              <c:strCache>
                <c:ptCount val="5"/>
                <c:pt idx="0">
                  <c:v>نسبة 1–2%</c:v>
                </c:pt>
                <c:pt idx="1">
                  <c:v>نسبة 3%</c:v>
                </c:pt>
                <c:pt idx="2">
                  <c:v>نسبة 5%</c:v>
                </c:pt>
                <c:pt idx="3">
                  <c:v>أكثر من 5%</c:v>
                </c:pt>
                <c:pt idx="4">
                  <c:v>لا أقبل نسبة</c:v>
                </c:pt>
              </c:strCache>
            </c:strRef>
          </c:cat>
          <c:val>
            <c:numRef>
              <c:f>الملخص!$B$38:$B$42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765719b-e1d0-4a83-a62c-ef94633f105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0</xdr:colOff>
      <xdr:row>6</xdr:row>
      <xdr:rowOff>0</xdr:rowOff>
    </xdr:from>
    <xdr:ext cx="5760000" cy="3462840"/>
    <xdr:graphicFrame>
      <xdr:nvGraphicFramePr>
        <xdr:cNvPr id="2" name="Chart 1"/>
        <xdr:cNvGraphicFramePr/>
      </xdr:nvGraphicFramePr>
      <xdr:xfrm>
        <a:off x="8778240" y="1577340"/>
        <a:ext cx="5759450" cy="346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35</xdr:row>
      <xdr:rowOff>0</xdr:rowOff>
    </xdr:from>
    <xdr:ext cx="5760000" cy="2796180"/>
    <xdr:graphicFrame>
      <xdr:nvGraphicFramePr>
        <xdr:cNvPr id="3" name="Chart 2"/>
        <xdr:cNvGraphicFramePr/>
      </xdr:nvGraphicFramePr>
      <xdr:xfrm>
        <a:off x="8778240" y="7002780"/>
        <a:ext cx="5759450" cy="2795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9"/>
  <sheetViews>
    <sheetView showGridLines="0" tabSelected="1" rightToLeft="1" workbookViewId="0">
      <selection activeCell="A1" sqref="A1"/>
    </sheetView>
  </sheetViews>
  <sheetFormatPr defaultColWidth="9" defaultRowHeight="14.4" outlineLevelCol="1"/>
  <cols>
    <col min="1" max="1" width="4" customWidth="1"/>
    <col min="2" max="2" width="110" customWidth="1"/>
  </cols>
  <sheetData>
    <row r="1" ht="30" customHeight="1" spans="2:2">
      <c r="B1" s="25" t="s">
        <v>0</v>
      </c>
    </row>
    <row r="2" ht="22" customHeight="1" spans="2:2">
      <c r="B2" s="26" t="s">
        <v>1</v>
      </c>
    </row>
    <row r="3" ht="30" customHeight="1" spans="2:2">
      <c r="B3" s="27" t="s">
        <v>2</v>
      </c>
    </row>
    <row r="4" ht="22" customHeight="1" spans="2:2">
      <c r="B4" s="26" t="s">
        <v>3</v>
      </c>
    </row>
    <row r="5" ht="22" customHeight="1" spans="2:2">
      <c r="B5" s="26" t="s">
        <v>4</v>
      </c>
    </row>
    <row r="6" ht="22" customHeight="1" spans="2:2">
      <c r="B6" s="26" t="s">
        <v>5</v>
      </c>
    </row>
    <row r="7" ht="22" customHeight="1" spans="2:2">
      <c r="B7" s="26" t="s">
        <v>6</v>
      </c>
    </row>
    <row r="8" ht="22" customHeight="1" spans="2:2">
      <c r="B8" s="26" t="s">
        <v>7</v>
      </c>
    </row>
    <row r="9" ht="22" customHeight="1" spans="2:2">
      <c r="B9" s="26" t="s">
        <v>8</v>
      </c>
    </row>
    <row r="10" ht="22" customHeight="1" spans="2:2">
      <c r="B10" s="26" t="s">
        <v>9</v>
      </c>
    </row>
    <row r="11" ht="22" customHeight="1" spans="2:2">
      <c r="B11" s="26" t="s">
        <v>10</v>
      </c>
    </row>
    <row r="12" ht="22" customHeight="1" spans="2:2">
      <c r="B12" s="26" t="s">
        <v>11</v>
      </c>
    </row>
    <row r="13" ht="22" customHeight="1" spans="2:2">
      <c r="B13" s="26" t="s">
        <v>1</v>
      </c>
    </row>
    <row r="14" ht="30" customHeight="1" spans="2:2">
      <c r="B14" s="27" t="s">
        <v>12</v>
      </c>
    </row>
    <row r="15" ht="22" customHeight="1" spans="2:2">
      <c r="B15" s="26" t="s">
        <v>13</v>
      </c>
    </row>
    <row r="16" ht="22" customHeight="1" spans="2:2">
      <c r="B16" s="26" t="s">
        <v>14</v>
      </c>
    </row>
    <row r="17" ht="22" customHeight="1" spans="2:2">
      <c r="B17" s="26" t="s">
        <v>1</v>
      </c>
    </row>
    <row r="18" ht="30" customHeight="1" spans="2:2">
      <c r="B18" s="27" t="s">
        <v>15</v>
      </c>
    </row>
    <row r="19" ht="22" customHeight="1" spans="2:2">
      <c r="B19" s="26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303"/>
  <sheetViews>
    <sheetView rightToLeft="1" workbookViewId="0">
      <pane xSplit="1" ySplit="3" topLeftCell="B4" activePane="bottomRight" state="frozen"/>
      <selection/>
      <selection pane="topRight"/>
      <selection pane="bottomLeft"/>
      <selection pane="bottomRight" activeCell="A1" sqref="A1:F1"/>
    </sheetView>
  </sheetViews>
  <sheetFormatPr defaultColWidth="9" defaultRowHeight="14.4"/>
  <cols>
    <col min="1" max="6" width="16" customWidth="1"/>
    <col min="7" max="9" width="22" customWidth="1"/>
    <col min="10" max="20" width="13" customWidth="1"/>
    <col min="21" max="21" width="18" customWidth="1"/>
    <col min="22" max="31" width="13" customWidth="1"/>
    <col min="32" max="32" width="18" customWidth="1"/>
    <col min="33" max="34" width="22" customWidth="1"/>
    <col min="35" max="44" width="13" customWidth="1"/>
    <col min="45" max="47" width="22" customWidth="1"/>
    <col min="48" max="48" width="24" customWidth="1"/>
    <col min="49" max="55" width="22" customWidth="1"/>
    <col min="56" max="56" width="24" customWidth="1"/>
    <col min="57" max="60" width="11" customWidth="1"/>
    <col min="61" max="65" width="13" customWidth="1"/>
    <col min="66" max="66" width="18" customWidth="1"/>
    <col min="67" max="70" width="22" customWidth="1"/>
    <col min="71" max="71" width="40" customWidth="1"/>
    <col min="72" max="73" width="22" customWidth="1"/>
    <col min="74" max="79" width="13" customWidth="1"/>
    <col min="80" max="80" width="22" customWidth="1"/>
    <col min="81" max="81" width="12" customWidth="1"/>
    <col min="82" max="82" width="22" customWidth="1"/>
    <col min="83" max="83" width="40" customWidth="1"/>
    <col min="84" max="95" width="13" customWidth="1"/>
    <col min="96" max="96" width="20" customWidth="1"/>
    <col min="97" max="98" width="40" customWidth="1"/>
    <col min="99" max="99" width="12" customWidth="1"/>
    <col min="100" max="108" width="15" customWidth="1"/>
    <col min="109" max="115" width="13" customWidth="1"/>
    <col min="116" max="116" width="18" customWidth="1"/>
    <col min="117" max="118" width="22" customWidth="1"/>
    <col min="119" max="119" width="16" customWidth="1"/>
    <col min="120" max="121" width="22" customWidth="1"/>
    <col min="122" max="124" width="18" customWidth="1"/>
    <col min="125" max="130" width="16" customWidth="1"/>
    <col min="131" max="131" width="40" customWidth="1"/>
  </cols>
  <sheetData>
    <row r="1" ht="48" customHeight="1" spans="1:131">
      <c r="A1" s="16" t="s">
        <v>17</v>
      </c>
      <c r="B1" s="17"/>
      <c r="C1" s="17"/>
      <c r="D1" s="17"/>
      <c r="E1" s="17"/>
      <c r="F1" s="17"/>
      <c r="G1" s="18" t="s">
        <v>18</v>
      </c>
      <c r="H1" s="16" t="s">
        <v>19</v>
      </c>
      <c r="I1" s="18" t="s">
        <v>20</v>
      </c>
      <c r="J1" s="16" t="s">
        <v>21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 t="s">
        <v>22</v>
      </c>
      <c r="W1" s="19"/>
      <c r="X1" s="19"/>
      <c r="Y1" s="16" t="s">
        <v>23</v>
      </c>
      <c r="Z1" s="17"/>
      <c r="AA1" s="17"/>
      <c r="AB1" s="17"/>
      <c r="AC1" s="17"/>
      <c r="AD1" s="17"/>
      <c r="AE1" s="17"/>
      <c r="AF1" s="17"/>
      <c r="AG1" s="18" t="s">
        <v>24</v>
      </c>
      <c r="AH1" s="16" t="s">
        <v>25</v>
      </c>
      <c r="AI1" s="18" t="s">
        <v>26</v>
      </c>
      <c r="AJ1" s="19"/>
      <c r="AK1" s="19"/>
      <c r="AL1" s="19"/>
      <c r="AM1" s="19"/>
      <c r="AN1" s="19"/>
      <c r="AO1" s="16" t="s">
        <v>27</v>
      </c>
      <c r="AP1" s="17"/>
      <c r="AQ1" s="17"/>
      <c r="AR1" s="17"/>
      <c r="AS1" s="18" t="s">
        <v>28</v>
      </c>
      <c r="AT1" s="16" t="s">
        <v>29</v>
      </c>
      <c r="AU1" s="18" t="s">
        <v>30</v>
      </c>
      <c r="AV1" s="19"/>
      <c r="AW1" s="16" t="s">
        <v>31</v>
      </c>
      <c r="AX1" s="18" t="s">
        <v>32</v>
      </c>
      <c r="AY1" s="16" t="s">
        <v>33</v>
      </c>
      <c r="AZ1" s="18" t="s">
        <v>34</v>
      </c>
      <c r="BA1" s="16" t="s">
        <v>35</v>
      </c>
      <c r="BB1" s="18" t="s">
        <v>36</v>
      </c>
      <c r="BC1" s="16" t="s">
        <v>37</v>
      </c>
      <c r="BD1" s="17"/>
      <c r="BE1" s="18" t="s">
        <v>38</v>
      </c>
      <c r="BF1" s="19"/>
      <c r="BG1" s="19"/>
      <c r="BH1" s="19"/>
      <c r="BI1" s="16" t="s">
        <v>39</v>
      </c>
      <c r="BJ1" s="17"/>
      <c r="BK1" s="17"/>
      <c r="BL1" s="17"/>
      <c r="BM1" s="17"/>
      <c r="BN1" s="17"/>
      <c r="BO1" s="18" t="s">
        <v>40</v>
      </c>
      <c r="BP1" s="16" t="s">
        <v>41</v>
      </c>
      <c r="BQ1" s="18" t="s">
        <v>42</v>
      </c>
      <c r="BR1" s="16" t="s">
        <v>43</v>
      </c>
      <c r="BS1" s="18" t="s">
        <v>44</v>
      </c>
      <c r="BT1" s="16" t="s">
        <v>45</v>
      </c>
      <c r="BU1" s="18" t="s">
        <v>46</v>
      </c>
      <c r="BV1" s="16" t="s">
        <v>47</v>
      </c>
      <c r="BW1" s="17"/>
      <c r="BX1" s="17"/>
      <c r="BY1" s="17"/>
      <c r="BZ1" s="17"/>
      <c r="CA1" s="17"/>
      <c r="CB1" s="18" t="s">
        <v>48</v>
      </c>
      <c r="CC1" s="16" t="s">
        <v>49</v>
      </c>
      <c r="CD1" s="18" t="s">
        <v>50</v>
      </c>
      <c r="CE1" s="16" t="s">
        <v>51</v>
      </c>
      <c r="CF1" s="18" t="s">
        <v>52</v>
      </c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6" t="s">
        <v>53</v>
      </c>
      <c r="CT1" s="18" t="s">
        <v>54</v>
      </c>
      <c r="CU1" s="16" t="s">
        <v>55</v>
      </c>
      <c r="CV1" s="18" t="s">
        <v>56</v>
      </c>
      <c r="CW1" s="19"/>
      <c r="CX1" s="19"/>
      <c r="CY1" s="19"/>
      <c r="CZ1" s="19"/>
      <c r="DA1" s="19"/>
      <c r="DB1" s="19"/>
      <c r="DC1" s="19"/>
      <c r="DD1" s="19"/>
      <c r="DE1" s="16" t="s">
        <v>57</v>
      </c>
      <c r="DF1" s="17"/>
      <c r="DG1" s="17"/>
      <c r="DH1" s="17"/>
      <c r="DI1" s="17"/>
      <c r="DJ1" s="17"/>
      <c r="DK1" s="17"/>
      <c r="DL1" s="17"/>
      <c r="DM1" s="18" t="s">
        <v>58</v>
      </c>
      <c r="DN1" s="16" t="s">
        <v>59</v>
      </c>
      <c r="DO1" s="18" t="s">
        <v>60</v>
      </c>
      <c r="DP1" s="16" t="s">
        <v>61</v>
      </c>
      <c r="DQ1" s="18" t="s">
        <v>62</v>
      </c>
      <c r="DR1" s="16" t="s">
        <v>63</v>
      </c>
      <c r="DS1" s="17"/>
      <c r="DT1" s="17"/>
      <c r="DU1" s="18" t="s">
        <v>64</v>
      </c>
      <c r="DV1" s="19"/>
      <c r="DW1" s="19"/>
      <c r="DX1" s="19"/>
      <c r="DY1" s="19"/>
      <c r="DZ1" s="19"/>
      <c r="EA1" s="19"/>
    </row>
    <row r="2" ht="62" customHeight="1" spans="1:131">
      <c r="A2" s="20" t="s">
        <v>65</v>
      </c>
      <c r="B2" s="20" t="s">
        <v>66</v>
      </c>
      <c r="C2" s="20" t="s">
        <v>67</v>
      </c>
      <c r="D2" s="20" t="s">
        <v>68</v>
      </c>
      <c r="E2" s="20" t="s">
        <v>69</v>
      </c>
      <c r="F2" s="20" t="s">
        <v>70</v>
      </c>
      <c r="G2" s="20" t="s">
        <v>71</v>
      </c>
      <c r="H2" s="20" t="s">
        <v>71</v>
      </c>
      <c r="I2" s="20" t="s">
        <v>71</v>
      </c>
      <c r="J2" s="20" t="s">
        <v>72</v>
      </c>
      <c r="K2" s="20" t="s">
        <v>73</v>
      </c>
      <c r="L2" s="20" t="s">
        <v>74</v>
      </c>
      <c r="M2" s="20" t="s">
        <v>75</v>
      </c>
      <c r="N2" s="20" t="s">
        <v>76</v>
      </c>
      <c r="O2" s="20" t="s">
        <v>77</v>
      </c>
      <c r="P2" s="20" t="s">
        <v>78</v>
      </c>
      <c r="Q2" s="20" t="s">
        <v>79</v>
      </c>
      <c r="R2" s="20" t="s">
        <v>80</v>
      </c>
      <c r="S2" s="20" t="s">
        <v>81</v>
      </c>
      <c r="T2" s="20" t="s">
        <v>82</v>
      </c>
      <c r="U2" s="20" t="s">
        <v>83</v>
      </c>
      <c r="V2" s="20" t="s">
        <v>84</v>
      </c>
      <c r="W2" s="20" t="s">
        <v>85</v>
      </c>
      <c r="X2" s="20" t="s">
        <v>86</v>
      </c>
      <c r="Y2" s="20" t="s">
        <v>87</v>
      </c>
      <c r="Z2" s="20" t="s">
        <v>88</v>
      </c>
      <c r="AA2" s="20" t="s">
        <v>89</v>
      </c>
      <c r="AB2" s="20" t="s">
        <v>90</v>
      </c>
      <c r="AC2" s="20" t="s">
        <v>91</v>
      </c>
      <c r="AD2" s="20" t="s">
        <v>92</v>
      </c>
      <c r="AE2" s="20" t="s">
        <v>93</v>
      </c>
      <c r="AF2" s="20" t="s">
        <v>83</v>
      </c>
      <c r="AG2" s="20" t="s">
        <v>71</v>
      </c>
      <c r="AH2" s="20" t="s">
        <v>71</v>
      </c>
      <c r="AI2" s="20" t="s">
        <v>94</v>
      </c>
      <c r="AJ2" s="20" t="s">
        <v>95</v>
      </c>
      <c r="AK2" s="20" t="s">
        <v>96</v>
      </c>
      <c r="AL2" s="20" t="s">
        <v>97</v>
      </c>
      <c r="AM2" s="20" t="s">
        <v>98</v>
      </c>
      <c r="AN2" s="20" t="s">
        <v>99</v>
      </c>
      <c r="AO2" s="20" t="s">
        <v>100</v>
      </c>
      <c r="AP2" s="20" t="s">
        <v>101</v>
      </c>
      <c r="AQ2" s="20" t="s">
        <v>102</v>
      </c>
      <c r="AR2" s="20" t="s">
        <v>103</v>
      </c>
      <c r="AS2" s="20" t="s">
        <v>71</v>
      </c>
      <c r="AT2" s="20" t="s">
        <v>71</v>
      </c>
      <c r="AU2" s="20" t="s">
        <v>71</v>
      </c>
      <c r="AV2" s="20" t="s">
        <v>104</v>
      </c>
      <c r="AW2" s="20" t="s">
        <v>71</v>
      </c>
      <c r="AX2" s="20" t="s">
        <v>71</v>
      </c>
      <c r="AY2" s="20" t="s">
        <v>71</v>
      </c>
      <c r="AZ2" s="20" t="s">
        <v>71</v>
      </c>
      <c r="BA2" s="20" t="s">
        <v>71</v>
      </c>
      <c r="BB2" s="20" t="s">
        <v>71</v>
      </c>
      <c r="BC2" s="20" t="s">
        <v>71</v>
      </c>
      <c r="BD2" s="20" t="s">
        <v>105</v>
      </c>
      <c r="BE2" s="20" t="s">
        <v>106</v>
      </c>
      <c r="BF2" s="20" t="s">
        <v>107</v>
      </c>
      <c r="BG2" s="20" t="s">
        <v>108</v>
      </c>
      <c r="BH2" s="20" t="s">
        <v>109</v>
      </c>
      <c r="BI2" s="20" t="s">
        <v>110</v>
      </c>
      <c r="BJ2" s="20" t="s">
        <v>111</v>
      </c>
      <c r="BK2" s="20" t="s">
        <v>112</v>
      </c>
      <c r="BL2" s="20" t="s">
        <v>113</v>
      </c>
      <c r="BM2" s="20" t="s">
        <v>114</v>
      </c>
      <c r="BN2" s="20" t="s">
        <v>83</v>
      </c>
      <c r="BO2" s="20" t="s">
        <v>71</v>
      </c>
      <c r="BP2" s="20" t="s">
        <v>71</v>
      </c>
      <c r="BQ2" s="20" t="s">
        <v>71</v>
      </c>
      <c r="BR2" s="20" t="s">
        <v>71</v>
      </c>
      <c r="BS2" s="20" t="s">
        <v>115</v>
      </c>
      <c r="BT2" s="20" t="s">
        <v>71</v>
      </c>
      <c r="BU2" s="20" t="s">
        <v>71</v>
      </c>
      <c r="BV2" s="20" t="s">
        <v>116</v>
      </c>
      <c r="BW2" s="20" t="s">
        <v>117</v>
      </c>
      <c r="BX2" s="20" t="s">
        <v>118</v>
      </c>
      <c r="BY2" s="20" t="s">
        <v>119</v>
      </c>
      <c r="BZ2" s="20" t="s">
        <v>120</v>
      </c>
      <c r="CA2" s="20" t="s">
        <v>121</v>
      </c>
      <c r="CB2" s="20" t="s">
        <v>71</v>
      </c>
      <c r="CC2" s="20" t="s">
        <v>122</v>
      </c>
      <c r="CD2" s="20" t="s">
        <v>71</v>
      </c>
      <c r="CE2" s="20" t="s">
        <v>115</v>
      </c>
      <c r="CF2" s="20" t="s">
        <v>123</v>
      </c>
      <c r="CG2" s="20" t="s">
        <v>124</v>
      </c>
      <c r="CH2" s="20" t="s">
        <v>125</v>
      </c>
      <c r="CI2" s="20" t="s">
        <v>126</v>
      </c>
      <c r="CJ2" s="20" t="s">
        <v>127</v>
      </c>
      <c r="CK2" s="20" t="s">
        <v>128</v>
      </c>
      <c r="CL2" s="20" t="s">
        <v>129</v>
      </c>
      <c r="CM2" s="20" t="s">
        <v>130</v>
      </c>
      <c r="CN2" s="20" t="s">
        <v>131</v>
      </c>
      <c r="CO2" s="20" t="s">
        <v>132</v>
      </c>
      <c r="CP2" s="20" t="s">
        <v>133</v>
      </c>
      <c r="CQ2" s="20" t="s">
        <v>134</v>
      </c>
      <c r="CR2" s="20" t="s">
        <v>135</v>
      </c>
      <c r="CS2" s="20" t="s">
        <v>115</v>
      </c>
      <c r="CT2" s="20" t="s">
        <v>115</v>
      </c>
      <c r="CU2" s="20" t="s">
        <v>122</v>
      </c>
      <c r="CV2" s="20" t="s">
        <v>136</v>
      </c>
      <c r="CW2" s="20" t="s">
        <v>137</v>
      </c>
      <c r="CX2" s="20" t="s">
        <v>138</v>
      </c>
      <c r="CY2" s="20" t="s">
        <v>139</v>
      </c>
      <c r="CZ2" s="20" t="s">
        <v>140</v>
      </c>
      <c r="DA2" s="20" t="s">
        <v>141</v>
      </c>
      <c r="DB2" s="20" t="s">
        <v>142</v>
      </c>
      <c r="DC2" s="20" t="s">
        <v>143</v>
      </c>
      <c r="DD2" s="20" t="s">
        <v>144</v>
      </c>
      <c r="DE2" s="20" t="s">
        <v>145</v>
      </c>
      <c r="DF2" s="20" t="s">
        <v>146</v>
      </c>
      <c r="DG2" s="20" t="s">
        <v>147</v>
      </c>
      <c r="DH2" s="20" t="s">
        <v>148</v>
      </c>
      <c r="DI2" s="20" t="s">
        <v>149</v>
      </c>
      <c r="DJ2" s="20" t="s">
        <v>150</v>
      </c>
      <c r="DK2" s="20" t="s">
        <v>121</v>
      </c>
      <c r="DL2" s="20" t="s">
        <v>83</v>
      </c>
      <c r="DM2" s="20" t="s">
        <v>71</v>
      </c>
      <c r="DN2" s="20" t="s">
        <v>71</v>
      </c>
      <c r="DO2" s="20" t="s">
        <v>151</v>
      </c>
      <c r="DP2" s="20" t="s">
        <v>71</v>
      </c>
      <c r="DQ2" s="20" t="s">
        <v>71</v>
      </c>
      <c r="DR2" s="20" t="s">
        <v>152</v>
      </c>
      <c r="DS2" s="20" t="s">
        <v>153</v>
      </c>
      <c r="DT2" s="20" t="s">
        <v>154</v>
      </c>
      <c r="DU2" s="20" t="s">
        <v>155</v>
      </c>
      <c r="DV2" s="20" t="s">
        <v>156</v>
      </c>
      <c r="DW2" s="20" t="s">
        <v>157</v>
      </c>
      <c r="DX2" s="20" t="s">
        <v>158</v>
      </c>
      <c r="DY2" s="20" t="s">
        <v>159</v>
      </c>
      <c r="DZ2" s="20" t="s">
        <v>160</v>
      </c>
      <c r="EA2" s="20" t="s">
        <v>161</v>
      </c>
    </row>
    <row r="3" spans="1:131">
      <c r="A3" s="21" t="s">
        <v>162</v>
      </c>
      <c r="B3" s="21" t="s">
        <v>163</v>
      </c>
      <c r="C3" s="21" t="s">
        <v>164</v>
      </c>
      <c r="D3" s="21" t="s">
        <v>165</v>
      </c>
      <c r="E3" s="21">
        <v>18</v>
      </c>
      <c r="F3" s="21" t="s">
        <v>166</v>
      </c>
      <c r="G3" s="22" t="s">
        <v>167</v>
      </c>
      <c r="H3" s="22" t="s">
        <v>168</v>
      </c>
      <c r="I3" s="22" t="s">
        <v>169</v>
      </c>
      <c r="J3" s="22">
        <v>1</v>
      </c>
      <c r="K3" s="22">
        <v>1</v>
      </c>
      <c r="L3" s="23"/>
      <c r="M3" s="23"/>
      <c r="N3" s="23"/>
      <c r="O3" s="23"/>
      <c r="P3" s="23"/>
      <c r="Q3" s="23"/>
      <c r="R3" s="22">
        <v>1</v>
      </c>
      <c r="S3" s="23"/>
      <c r="T3" s="23"/>
      <c r="U3" s="24"/>
      <c r="V3" s="23"/>
      <c r="W3" s="22">
        <v>1</v>
      </c>
      <c r="X3" s="23"/>
      <c r="Y3" s="22">
        <v>1</v>
      </c>
      <c r="Z3" s="22">
        <v>1</v>
      </c>
      <c r="AA3" s="23"/>
      <c r="AB3" s="23"/>
      <c r="AC3" s="22">
        <v>1</v>
      </c>
      <c r="AD3" s="23"/>
      <c r="AE3" s="23"/>
      <c r="AF3" s="24"/>
      <c r="AG3" s="22" t="s">
        <v>170</v>
      </c>
      <c r="AH3" s="22" t="s">
        <v>171</v>
      </c>
      <c r="AI3" s="22">
        <v>1</v>
      </c>
      <c r="AJ3" s="23"/>
      <c r="AK3" s="23"/>
      <c r="AL3" s="22">
        <v>1</v>
      </c>
      <c r="AM3" s="23"/>
      <c r="AN3" s="23"/>
      <c r="AO3" s="22">
        <v>1</v>
      </c>
      <c r="AP3" s="23"/>
      <c r="AQ3" s="23"/>
      <c r="AR3" s="23"/>
      <c r="AS3" s="22" t="s">
        <v>172</v>
      </c>
      <c r="AT3" s="22" t="s">
        <v>173</v>
      </c>
      <c r="AU3" s="22" t="s">
        <v>174</v>
      </c>
      <c r="AV3" s="21" t="s">
        <v>175</v>
      </c>
      <c r="AW3" s="22" t="s">
        <v>176</v>
      </c>
      <c r="AX3" s="22" t="s">
        <v>177</v>
      </c>
      <c r="AY3" s="22" t="s">
        <v>178</v>
      </c>
      <c r="AZ3" s="22" t="s">
        <v>179</v>
      </c>
      <c r="BA3" s="22" t="s">
        <v>180</v>
      </c>
      <c r="BB3" s="22" t="s">
        <v>181</v>
      </c>
      <c r="BC3" s="22" t="s">
        <v>182</v>
      </c>
      <c r="BD3" s="21" t="s">
        <v>175</v>
      </c>
      <c r="BE3" s="22">
        <v>50</v>
      </c>
      <c r="BF3" s="22">
        <v>30</v>
      </c>
      <c r="BG3" s="22">
        <v>0</v>
      </c>
      <c r="BH3" s="22">
        <v>20</v>
      </c>
      <c r="BI3" s="22">
        <v>1</v>
      </c>
      <c r="BJ3" s="22">
        <v>1</v>
      </c>
      <c r="BK3" s="23"/>
      <c r="BL3" s="23"/>
      <c r="BM3" s="23"/>
      <c r="BN3" s="24"/>
      <c r="BO3" s="22" t="s">
        <v>183</v>
      </c>
      <c r="BP3" s="22" t="s">
        <v>180</v>
      </c>
      <c r="BQ3" s="22" t="s">
        <v>184</v>
      </c>
      <c r="BR3" s="22" t="s">
        <v>185</v>
      </c>
      <c r="BS3" s="21" t="s">
        <v>186</v>
      </c>
      <c r="BT3" s="22" t="s">
        <v>187</v>
      </c>
      <c r="BU3" s="22" t="s">
        <v>188</v>
      </c>
      <c r="BV3" s="22">
        <v>1</v>
      </c>
      <c r="BW3" s="22">
        <v>1</v>
      </c>
      <c r="BX3" s="22">
        <v>1</v>
      </c>
      <c r="BY3" s="23"/>
      <c r="BZ3" s="23"/>
      <c r="CA3" s="23"/>
      <c r="CB3" s="22" t="s">
        <v>189</v>
      </c>
      <c r="CC3" s="22">
        <v>1</v>
      </c>
      <c r="CD3" s="22" t="s">
        <v>190</v>
      </c>
      <c r="CE3" s="21" t="s">
        <v>186</v>
      </c>
      <c r="CF3" s="22">
        <v>1</v>
      </c>
      <c r="CG3" s="23"/>
      <c r="CH3" s="23"/>
      <c r="CI3" s="22">
        <v>3</v>
      </c>
      <c r="CJ3" s="23"/>
      <c r="CK3" s="23"/>
      <c r="CL3" s="23"/>
      <c r="CM3" s="23"/>
      <c r="CN3" s="23"/>
      <c r="CO3" s="22">
        <v>2</v>
      </c>
      <c r="CP3" s="23"/>
      <c r="CQ3" s="23"/>
      <c r="CR3" s="24"/>
      <c r="CS3" s="21" t="s">
        <v>186</v>
      </c>
      <c r="CT3" s="21" t="s">
        <v>186</v>
      </c>
      <c r="CU3" s="22">
        <v>4</v>
      </c>
      <c r="CV3" s="22" t="s">
        <v>191</v>
      </c>
      <c r="CW3" s="22" t="s">
        <v>191</v>
      </c>
      <c r="CX3" s="22" t="s">
        <v>192</v>
      </c>
      <c r="CY3" s="22" t="s">
        <v>192</v>
      </c>
      <c r="CZ3" s="22" t="s">
        <v>192</v>
      </c>
      <c r="DA3" s="22" t="s">
        <v>191</v>
      </c>
      <c r="DB3" s="22" t="s">
        <v>192</v>
      </c>
      <c r="DC3" s="22" t="s">
        <v>192</v>
      </c>
      <c r="DD3" s="22" t="s">
        <v>192</v>
      </c>
      <c r="DE3" s="23"/>
      <c r="DF3" s="23"/>
      <c r="DG3" s="23"/>
      <c r="DH3" s="23"/>
      <c r="DI3" s="23"/>
      <c r="DJ3" s="23"/>
      <c r="DK3" s="22">
        <v>1</v>
      </c>
      <c r="DL3" s="24"/>
      <c r="DM3" s="22" t="s">
        <v>193</v>
      </c>
      <c r="DN3" s="22" t="s">
        <v>194</v>
      </c>
      <c r="DO3" s="22">
        <v>15000</v>
      </c>
      <c r="DP3" s="22" t="s">
        <v>189</v>
      </c>
      <c r="DQ3" s="22" t="s">
        <v>189</v>
      </c>
      <c r="DR3" s="21" t="s">
        <v>195</v>
      </c>
      <c r="DS3" s="21" t="s">
        <v>1</v>
      </c>
      <c r="DT3" s="21" t="s">
        <v>1</v>
      </c>
      <c r="DU3" s="22" t="s">
        <v>196</v>
      </c>
      <c r="DV3" s="22" t="s">
        <v>197</v>
      </c>
      <c r="DW3" s="22" t="s">
        <v>198</v>
      </c>
      <c r="DX3" s="22" t="s">
        <v>199</v>
      </c>
      <c r="DY3" s="22" t="s">
        <v>200</v>
      </c>
      <c r="DZ3" s="22" t="s">
        <v>166</v>
      </c>
      <c r="EA3" s="21" t="s">
        <v>201</v>
      </c>
    </row>
    <row r="4" spans="1:131">
      <c r="A4" s="24"/>
      <c r="B4" s="24"/>
      <c r="C4" s="24"/>
      <c r="D4" s="24"/>
      <c r="E4" s="24"/>
      <c r="F4" s="24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4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4"/>
      <c r="AW4" s="23"/>
      <c r="AX4" s="23"/>
      <c r="AY4" s="23"/>
      <c r="AZ4" s="23"/>
      <c r="BA4" s="23"/>
      <c r="BB4" s="23"/>
      <c r="BC4" s="23"/>
      <c r="BD4" s="24"/>
      <c r="BE4" s="23"/>
      <c r="BF4" s="23"/>
      <c r="BG4" s="23"/>
      <c r="BH4" s="23"/>
      <c r="BI4" s="23"/>
      <c r="BJ4" s="23"/>
      <c r="BK4" s="23"/>
      <c r="BL4" s="23"/>
      <c r="BM4" s="23"/>
      <c r="BN4" s="24"/>
      <c r="BO4" s="23"/>
      <c r="BP4" s="23"/>
      <c r="BQ4" s="23"/>
      <c r="BR4" s="23"/>
      <c r="BS4" s="24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4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4"/>
      <c r="CS4" s="24"/>
      <c r="CT4" s="24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4"/>
      <c r="DM4" s="23"/>
      <c r="DN4" s="23"/>
      <c r="DO4" s="23"/>
      <c r="DP4" s="23"/>
      <c r="DQ4" s="23"/>
      <c r="DR4" s="24"/>
      <c r="DS4" s="24"/>
      <c r="DT4" s="24"/>
      <c r="DU4" s="23"/>
      <c r="DV4" s="23"/>
      <c r="DW4" s="23"/>
      <c r="DX4" s="23"/>
      <c r="DY4" s="23"/>
      <c r="DZ4" s="23"/>
      <c r="EA4" s="24"/>
    </row>
    <row r="5" spans="1:131">
      <c r="A5" s="24"/>
      <c r="B5" s="24"/>
      <c r="C5" s="24"/>
      <c r="D5" s="24"/>
      <c r="E5" s="24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4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4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4"/>
      <c r="AW5" s="23"/>
      <c r="AX5" s="23"/>
      <c r="AY5" s="23"/>
      <c r="AZ5" s="23"/>
      <c r="BA5" s="23"/>
      <c r="BB5" s="23"/>
      <c r="BC5" s="23"/>
      <c r="BD5" s="24"/>
      <c r="BE5" s="23"/>
      <c r="BF5" s="23"/>
      <c r="BG5" s="23"/>
      <c r="BH5" s="23"/>
      <c r="BI5" s="23"/>
      <c r="BJ5" s="23"/>
      <c r="BK5" s="23"/>
      <c r="BL5" s="23"/>
      <c r="BM5" s="23"/>
      <c r="BN5" s="24"/>
      <c r="BO5" s="23"/>
      <c r="BP5" s="23"/>
      <c r="BQ5" s="23"/>
      <c r="BR5" s="23"/>
      <c r="BS5" s="24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4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4"/>
      <c r="CS5" s="24"/>
      <c r="CT5" s="24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4"/>
      <c r="DM5" s="23"/>
      <c r="DN5" s="23"/>
      <c r="DO5" s="23"/>
      <c r="DP5" s="23"/>
      <c r="DQ5" s="23"/>
      <c r="DR5" s="24"/>
      <c r="DS5" s="24"/>
      <c r="DT5" s="24"/>
      <c r="DU5" s="23"/>
      <c r="DV5" s="23"/>
      <c r="DW5" s="23"/>
      <c r="DX5" s="23"/>
      <c r="DY5" s="23"/>
      <c r="DZ5" s="23"/>
      <c r="EA5" s="24"/>
    </row>
    <row r="6" spans="1:131">
      <c r="A6" s="24"/>
      <c r="B6" s="24"/>
      <c r="C6" s="24"/>
      <c r="D6" s="24"/>
      <c r="E6" s="24"/>
      <c r="F6" s="24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4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4"/>
      <c r="AW6" s="23"/>
      <c r="AX6" s="23"/>
      <c r="AY6" s="23"/>
      <c r="AZ6" s="23"/>
      <c r="BA6" s="23"/>
      <c r="BB6" s="23"/>
      <c r="BC6" s="23"/>
      <c r="BD6" s="24"/>
      <c r="BE6" s="23"/>
      <c r="BF6" s="23"/>
      <c r="BG6" s="23"/>
      <c r="BH6" s="23"/>
      <c r="BI6" s="23"/>
      <c r="BJ6" s="23"/>
      <c r="BK6" s="23"/>
      <c r="BL6" s="23"/>
      <c r="BM6" s="23"/>
      <c r="BN6" s="24"/>
      <c r="BO6" s="23"/>
      <c r="BP6" s="23"/>
      <c r="BQ6" s="23"/>
      <c r="BR6" s="23"/>
      <c r="BS6" s="24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4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4"/>
      <c r="CS6" s="24"/>
      <c r="CT6" s="24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4"/>
      <c r="DM6" s="23"/>
      <c r="DN6" s="23"/>
      <c r="DO6" s="23"/>
      <c r="DP6" s="23"/>
      <c r="DQ6" s="23"/>
      <c r="DR6" s="24"/>
      <c r="DS6" s="24"/>
      <c r="DT6" s="24"/>
      <c r="DU6" s="23"/>
      <c r="DV6" s="23"/>
      <c r="DW6" s="23"/>
      <c r="DX6" s="23"/>
      <c r="DY6" s="23"/>
      <c r="DZ6" s="23"/>
      <c r="EA6" s="24"/>
    </row>
    <row r="7" spans="1:131">
      <c r="A7" s="24"/>
      <c r="B7" s="24"/>
      <c r="C7" s="24"/>
      <c r="D7" s="24"/>
      <c r="E7" s="24"/>
      <c r="F7" s="24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4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4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4"/>
      <c r="AW7" s="23"/>
      <c r="AX7" s="23"/>
      <c r="AY7" s="23"/>
      <c r="AZ7" s="23"/>
      <c r="BA7" s="23"/>
      <c r="BB7" s="23"/>
      <c r="BC7" s="23"/>
      <c r="BD7" s="24"/>
      <c r="BE7" s="23"/>
      <c r="BF7" s="23"/>
      <c r="BG7" s="23"/>
      <c r="BH7" s="23"/>
      <c r="BI7" s="23"/>
      <c r="BJ7" s="23"/>
      <c r="BK7" s="23"/>
      <c r="BL7" s="23"/>
      <c r="BM7" s="23"/>
      <c r="BN7" s="24"/>
      <c r="BO7" s="23"/>
      <c r="BP7" s="23"/>
      <c r="BQ7" s="23"/>
      <c r="BR7" s="23"/>
      <c r="BS7" s="24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4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4"/>
      <c r="CS7" s="24"/>
      <c r="CT7" s="24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4"/>
      <c r="DM7" s="23"/>
      <c r="DN7" s="23"/>
      <c r="DO7" s="23"/>
      <c r="DP7" s="23"/>
      <c r="DQ7" s="23"/>
      <c r="DR7" s="24"/>
      <c r="DS7" s="24"/>
      <c r="DT7" s="24"/>
      <c r="DU7" s="23"/>
      <c r="DV7" s="23"/>
      <c r="DW7" s="23"/>
      <c r="DX7" s="23"/>
      <c r="DY7" s="23"/>
      <c r="DZ7" s="23"/>
      <c r="EA7" s="24"/>
    </row>
    <row r="8" spans="1:131">
      <c r="A8" s="24"/>
      <c r="B8" s="24"/>
      <c r="C8" s="24"/>
      <c r="D8" s="24"/>
      <c r="E8" s="24"/>
      <c r="F8" s="24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4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4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4"/>
      <c r="AW8" s="23"/>
      <c r="AX8" s="23"/>
      <c r="AY8" s="23"/>
      <c r="AZ8" s="23"/>
      <c r="BA8" s="23"/>
      <c r="BB8" s="23"/>
      <c r="BC8" s="23"/>
      <c r="BD8" s="24"/>
      <c r="BE8" s="23"/>
      <c r="BF8" s="23"/>
      <c r="BG8" s="23"/>
      <c r="BH8" s="23"/>
      <c r="BI8" s="23"/>
      <c r="BJ8" s="23"/>
      <c r="BK8" s="23"/>
      <c r="BL8" s="23"/>
      <c r="BM8" s="23"/>
      <c r="BN8" s="24"/>
      <c r="BO8" s="23"/>
      <c r="BP8" s="23"/>
      <c r="BQ8" s="23"/>
      <c r="BR8" s="23"/>
      <c r="BS8" s="24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4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4"/>
      <c r="CS8" s="24"/>
      <c r="CT8" s="24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4"/>
      <c r="DM8" s="23"/>
      <c r="DN8" s="23"/>
      <c r="DO8" s="23"/>
      <c r="DP8" s="23"/>
      <c r="DQ8" s="23"/>
      <c r="DR8" s="24"/>
      <c r="DS8" s="24"/>
      <c r="DT8" s="24"/>
      <c r="DU8" s="23"/>
      <c r="DV8" s="23"/>
      <c r="DW8" s="23"/>
      <c r="DX8" s="23"/>
      <c r="DY8" s="23"/>
      <c r="DZ8" s="23"/>
      <c r="EA8" s="24"/>
    </row>
    <row r="9" spans="1:131">
      <c r="A9" s="24"/>
      <c r="B9" s="24"/>
      <c r="C9" s="24"/>
      <c r="D9" s="24"/>
      <c r="E9" s="24"/>
      <c r="F9" s="24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4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4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4"/>
      <c r="AW9" s="23"/>
      <c r="AX9" s="23"/>
      <c r="AY9" s="23"/>
      <c r="AZ9" s="23"/>
      <c r="BA9" s="23"/>
      <c r="BB9" s="23"/>
      <c r="BC9" s="23"/>
      <c r="BD9" s="24"/>
      <c r="BE9" s="23"/>
      <c r="BF9" s="23"/>
      <c r="BG9" s="23"/>
      <c r="BH9" s="23"/>
      <c r="BI9" s="23"/>
      <c r="BJ9" s="23"/>
      <c r="BK9" s="23"/>
      <c r="BL9" s="23"/>
      <c r="BM9" s="23"/>
      <c r="BN9" s="24"/>
      <c r="BO9" s="23"/>
      <c r="BP9" s="23"/>
      <c r="BQ9" s="23"/>
      <c r="BR9" s="23"/>
      <c r="BS9" s="24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4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4"/>
      <c r="CS9" s="24"/>
      <c r="CT9" s="24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4"/>
      <c r="DM9" s="23"/>
      <c r="DN9" s="23"/>
      <c r="DO9" s="23"/>
      <c r="DP9" s="23"/>
      <c r="DQ9" s="23"/>
      <c r="DR9" s="24"/>
      <c r="DS9" s="24"/>
      <c r="DT9" s="24"/>
      <c r="DU9" s="23"/>
      <c r="DV9" s="23"/>
      <c r="DW9" s="23"/>
      <c r="DX9" s="23"/>
      <c r="DY9" s="23"/>
      <c r="DZ9" s="23"/>
      <c r="EA9" s="24"/>
    </row>
    <row r="10" spans="1:131">
      <c r="A10" s="24"/>
      <c r="B10" s="24"/>
      <c r="C10" s="24"/>
      <c r="D10" s="24"/>
      <c r="E10" s="24"/>
      <c r="F10" s="24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4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4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4"/>
      <c r="AW10" s="23"/>
      <c r="AX10" s="23"/>
      <c r="AY10" s="23"/>
      <c r="AZ10" s="23"/>
      <c r="BA10" s="23"/>
      <c r="BB10" s="23"/>
      <c r="BC10" s="23"/>
      <c r="BD10" s="24"/>
      <c r="BE10" s="23"/>
      <c r="BF10" s="23"/>
      <c r="BG10" s="23"/>
      <c r="BH10" s="23"/>
      <c r="BI10" s="23"/>
      <c r="BJ10" s="23"/>
      <c r="BK10" s="23"/>
      <c r="BL10" s="23"/>
      <c r="BM10" s="23"/>
      <c r="BN10" s="24"/>
      <c r="BO10" s="23"/>
      <c r="BP10" s="23"/>
      <c r="BQ10" s="23"/>
      <c r="BR10" s="23"/>
      <c r="BS10" s="24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4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4"/>
      <c r="CS10" s="24"/>
      <c r="CT10" s="24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4"/>
      <c r="DM10" s="23"/>
      <c r="DN10" s="23"/>
      <c r="DO10" s="23"/>
      <c r="DP10" s="23"/>
      <c r="DQ10" s="23"/>
      <c r="DR10" s="24"/>
      <c r="DS10" s="24"/>
      <c r="DT10" s="24"/>
      <c r="DU10" s="23"/>
      <c r="DV10" s="23"/>
      <c r="DW10" s="23"/>
      <c r="DX10" s="23"/>
      <c r="DY10" s="23"/>
      <c r="DZ10" s="23"/>
      <c r="EA10" s="24"/>
    </row>
    <row r="11" spans="1:131">
      <c r="A11" s="24"/>
      <c r="B11" s="24"/>
      <c r="C11" s="24"/>
      <c r="D11" s="24"/>
      <c r="E11" s="24"/>
      <c r="F11" s="24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4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4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4"/>
      <c r="AW11" s="23"/>
      <c r="AX11" s="23"/>
      <c r="AY11" s="23"/>
      <c r="AZ11" s="23"/>
      <c r="BA11" s="23"/>
      <c r="BB11" s="23"/>
      <c r="BC11" s="23"/>
      <c r="BD11" s="24"/>
      <c r="BE11" s="23"/>
      <c r="BF11" s="23"/>
      <c r="BG11" s="23"/>
      <c r="BH11" s="23"/>
      <c r="BI11" s="23"/>
      <c r="BJ11" s="23"/>
      <c r="BK11" s="23"/>
      <c r="BL11" s="23"/>
      <c r="BM11" s="23"/>
      <c r="BN11" s="24"/>
      <c r="BO11" s="23"/>
      <c r="BP11" s="23"/>
      <c r="BQ11" s="23"/>
      <c r="BR11" s="23"/>
      <c r="BS11" s="24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4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4"/>
      <c r="CS11" s="24"/>
      <c r="CT11" s="24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4"/>
      <c r="DM11" s="23"/>
      <c r="DN11" s="23"/>
      <c r="DO11" s="23"/>
      <c r="DP11" s="23"/>
      <c r="DQ11" s="23"/>
      <c r="DR11" s="24"/>
      <c r="DS11" s="24"/>
      <c r="DT11" s="24"/>
      <c r="DU11" s="23"/>
      <c r="DV11" s="23"/>
      <c r="DW11" s="23"/>
      <c r="DX11" s="23"/>
      <c r="DY11" s="23"/>
      <c r="DZ11" s="23"/>
      <c r="EA11" s="24"/>
    </row>
    <row r="12" spans="1:131">
      <c r="A12" s="24"/>
      <c r="B12" s="24"/>
      <c r="C12" s="24"/>
      <c r="D12" s="24"/>
      <c r="E12" s="24"/>
      <c r="F12" s="24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4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4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4"/>
      <c r="AW12" s="23"/>
      <c r="AX12" s="23"/>
      <c r="AY12" s="23"/>
      <c r="AZ12" s="23"/>
      <c r="BA12" s="23"/>
      <c r="BB12" s="23"/>
      <c r="BC12" s="23"/>
      <c r="BD12" s="24"/>
      <c r="BE12" s="23"/>
      <c r="BF12" s="23"/>
      <c r="BG12" s="23"/>
      <c r="BH12" s="23"/>
      <c r="BI12" s="23"/>
      <c r="BJ12" s="23"/>
      <c r="BK12" s="23"/>
      <c r="BL12" s="23"/>
      <c r="BM12" s="23"/>
      <c r="BN12" s="24"/>
      <c r="BO12" s="23"/>
      <c r="BP12" s="23"/>
      <c r="BQ12" s="23"/>
      <c r="BR12" s="23"/>
      <c r="BS12" s="24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4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4"/>
      <c r="CS12" s="24"/>
      <c r="CT12" s="24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4"/>
      <c r="DM12" s="23"/>
      <c r="DN12" s="23"/>
      <c r="DO12" s="23"/>
      <c r="DP12" s="23"/>
      <c r="DQ12" s="23"/>
      <c r="DR12" s="24"/>
      <c r="DS12" s="24"/>
      <c r="DT12" s="24"/>
      <c r="DU12" s="23"/>
      <c r="DV12" s="23"/>
      <c r="DW12" s="23"/>
      <c r="DX12" s="23"/>
      <c r="DY12" s="23"/>
      <c r="DZ12" s="23"/>
      <c r="EA12" s="24"/>
    </row>
    <row r="13" spans="1:131">
      <c r="A13" s="24"/>
      <c r="B13" s="24"/>
      <c r="C13" s="24"/>
      <c r="D13" s="24"/>
      <c r="E13" s="24"/>
      <c r="F13" s="24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4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4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4"/>
      <c r="AW13" s="23"/>
      <c r="AX13" s="23"/>
      <c r="AY13" s="23"/>
      <c r="AZ13" s="23"/>
      <c r="BA13" s="23"/>
      <c r="BB13" s="23"/>
      <c r="BC13" s="23"/>
      <c r="BD13" s="24"/>
      <c r="BE13" s="23"/>
      <c r="BF13" s="23"/>
      <c r="BG13" s="23"/>
      <c r="BH13" s="23"/>
      <c r="BI13" s="23"/>
      <c r="BJ13" s="23"/>
      <c r="BK13" s="23"/>
      <c r="BL13" s="23"/>
      <c r="BM13" s="23"/>
      <c r="BN13" s="24"/>
      <c r="BO13" s="23"/>
      <c r="BP13" s="23"/>
      <c r="BQ13" s="23"/>
      <c r="BR13" s="23"/>
      <c r="BS13" s="24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4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4"/>
      <c r="CS13" s="24"/>
      <c r="CT13" s="24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4"/>
      <c r="DM13" s="23"/>
      <c r="DN13" s="23"/>
      <c r="DO13" s="23"/>
      <c r="DP13" s="23"/>
      <c r="DQ13" s="23"/>
      <c r="DR13" s="24"/>
      <c r="DS13" s="24"/>
      <c r="DT13" s="24"/>
      <c r="DU13" s="23"/>
      <c r="DV13" s="23"/>
      <c r="DW13" s="23"/>
      <c r="DX13" s="23"/>
      <c r="DY13" s="23"/>
      <c r="DZ13" s="23"/>
      <c r="EA13" s="24"/>
    </row>
    <row r="14" spans="1:131">
      <c r="A14" s="24"/>
      <c r="B14" s="24"/>
      <c r="C14" s="24"/>
      <c r="D14" s="24"/>
      <c r="E14" s="24"/>
      <c r="F14" s="24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4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4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4"/>
      <c r="AW14" s="23"/>
      <c r="AX14" s="23"/>
      <c r="AY14" s="23"/>
      <c r="AZ14" s="23"/>
      <c r="BA14" s="23"/>
      <c r="BB14" s="23"/>
      <c r="BC14" s="23"/>
      <c r="BD14" s="24"/>
      <c r="BE14" s="23"/>
      <c r="BF14" s="23"/>
      <c r="BG14" s="23"/>
      <c r="BH14" s="23"/>
      <c r="BI14" s="23"/>
      <c r="BJ14" s="23"/>
      <c r="BK14" s="23"/>
      <c r="BL14" s="23"/>
      <c r="BM14" s="23"/>
      <c r="BN14" s="24"/>
      <c r="BO14" s="23"/>
      <c r="BP14" s="23"/>
      <c r="BQ14" s="23"/>
      <c r="BR14" s="23"/>
      <c r="BS14" s="24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4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4"/>
      <c r="CS14" s="24"/>
      <c r="CT14" s="24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4"/>
      <c r="DM14" s="23"/>
      <c r="DN14" s="23"/>
      <c r="DO14" s="23"/>
      <c r="DP14" s="23"/>
      <c r="DQ14" s="23"/>
      <c r="DR14" s="24"/>
      <c r="DS14" s="24"/>
      <c r="DT14" s="24"/>
      <c r="DU14" s="23"/>
      <c r="DV14" s="23"/>
      <c r="DW14" s="23"/>
      <c r="DX14" s="23"/>
      <c r="DY14" s="23"/>
      <c r="DZ14" s="23"/>
      <c r="EA14" s="24"/>
    </row>
    <row r="15" spans="1:131">
      <c r="A15" s="24"/>
      <c r="B15" s="24"/>
      <c r="C15" s="24"/>
      <c r="D15" s="24"/>
      <c r="E15" s="24"/>
      <c r="F15" s="24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4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4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4"/>
      <c r="AW15" s="23"/>
      <c r="AX15" s="23"/>
      <c r="AY15" s="23"/>
      <c r="AZ15" s="23"/>
      <c r="BA15" s="23"/>
      <c r="BB15" s="23"/>
      <c r="BC15" s="23"/>
      <c r="BD15" s="24"/>
      <c r="BE15" s="23"/>
      <c r="BF15" s="23"/>
      <c r="BG15" s="23"/>
      <c r="BH15" s="23"/>
      <c r="BI15" s="23"/>
      <c r="BJ15" s="23"/>
      <c r="BK15" s="23"/>
      <c r="BL15" s="23"/>
      <c r="BM15" s="23"/>
      <c r="BN15" s="24"/>
      <c r="BO15" s="23"/>
      <c r="BP15" s="23"/>
      <c r="BQ15" s="23"/>
      <c r="BR15" s="23"/>
      <c r="BS15" s="24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4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4"/>
      <c r="CS15" s="24"/>
      <c r="CT15" s="24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4"/>
      <c r="DM15" s="23"/>
      <c r="DN15" s="23"/>
      <c r="DO15" s="23"/>
      <c r="DP15" s="23"/>
      <c r="DQ15" s="23"/>
      <c r="DR15" s="24"/>
      <c r="DS15" s="24"/>
      <c r="DT15" s="24"/>
      <c r="DU15" s="23"/>
      <c r="DV15" s="23"/>
      <c r="DW15" s="23"/>
      <c r="DX15" s="23"/>
      <c r="DY15" s="23"/>
      <c r="DZ15" s="23"/>
      <c r="EA15" s="24"/>
    </row>
    <row r="16" spans="1:131">
      <c r="A16" s="24"/>
      <c r="B16" s="24"/>
      <c r="C16" s="24"/>
      <c r="D16" s="24"/>
      <c r="E16" s="24"/>
      <c r="F16" s="24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4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4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4"/>
      <c r="AW16" s="23"/>
      <c r="AX16" s="23"/>
      <c r="AY16" s="23"/>
      <c r="AZ16" s="23"/>
      <c r="BA16" s="23"/>
      <c r="BB16" s="23"/>
      <c r="BC16" s="23"/>
      <c r="BD16" s="24"/>
      <c r="BE16" s="23"/>
      <c r="BF16" s="23"/>
      <c r="BG16" s="23"/>
      <c r="BH16" s="23"/>
      <c r="BI16" s="23"/>
      <c r="BJ16" s="23"/>
      <c r="BK16" s="23"/>
      <c r="BL16" s="23"/>
      <c r="BM16" s="23"/>
      <c r="BN16" s="24"/>
      <c r="BO16" s="23"/>
      <c r="BP16" s="23"/>
      <c r="BQ16" s="23"/>
      <c r="BR16" s="23"/>
      <c r="BS16" s="24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4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4"/>
      <c r="CS16" s="24"/>
      <c r="CT16" s="24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4"/>
      <c r="DM16" s="23"/>
      <c r="DN16" s="23"/>
      <c r="DO16" s="23"/>
      <c r="DP16" s="23"/>
      <c r="DQ16" s="23"/>
      <c r="DR16" s="24"/>
      <c r="DS16" s="24"/>
      <c r="DT16" s="24"/>
      <c r="DU16" s="23"/>
      <c r="DV16" s="23"/>
      <c r="DW16" s="23"/>
      <c r="DX16" s="23"/>
      <c r="DY16" s="23"/>
      <c r="DZ16" s="23"/>
      <c r="EA16" s="24"/>
    </row>
    <row r="17" spans="1:131">
      <c r="A17" s="24"/>
      <c r="B17" s="24"/>
      <c r="C17" s="24"/>
      <c r="D17" s="24"/>
      <c r="E17" s="24"/>
      <c r="F17" s="24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4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4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4"/>
      <c r="AW17" s="23"/>
      <c r="AX17" s="23"/>
      <c r="AY17" s="23"/>
      <c r="AZ17" s="23"/>
      <c r="BA17" s="23"/>
      <c r="BB17" s="23"/>
      <c r="BC17" s="23"/>
      <c r="BD17" s="24"/>
      <c r="BE17" s="23"/>
      <c r="BF17" s="23"/>
      <c r="BG17" s="23"/>
      <c r="BH17" s="23"/>
      <c r="BI17" s="23"/>
      <c r="BJ17" s="23"/>
      <c r="BK17" s="23"/>
      <c r="BL17" s="23"/>
      <c r="BM17" s="23"/>
      <c r="BN17" s="24"/>
      <c r="BO17" s="23"/>
      <c r="BP17" s="23"/>
      <c r="BQ17" s="23"/>
      <c r="BR17" s="23"/>
      <c r="BS17" s="24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4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4"/>
      <c r="CS17" s="24"/>
      <c r="CT17" s="24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4"/>
      <c r="DM17" s="23"/>
      <c r="DN17" s="23"/>
      <c r="DO17" s="23"/>
      <c r="DP17" s="23"/>
      <c r="DQ17" s="23"/>
      <c r="DR17" s="24"/>
      <c r="DS17" s="24"/>
      <c r="DT17" s="24"/>
      <c r="DU17" s="23"/>
      <c r="DV17" s="23"/>
      <c r="DW17" s="23"/>
      <c r="DX17" s="23"/>
      <c r="DY17" s="23"/>
      <c r="DZ17" s="23"/>
      <c r="EA17" s="24"/>
    </row>
    <row r="18" spans="1:131">
      <c r="A18" s="24"/>
      <c r="B18" s="24"/>
      <c r="C18" s="24"/>
      <c r="D18" s="24"/>
      <c r="E18" s="24"/>
      <c r="F18" s="24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4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4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4"/>
      <c r="AW18" s="23"/>
      <c r="AX18" s="23"/>
      <c r="AY18" s="23"/>
      <c r="AZ18" s="23"/>
      <c r="BA18" s="23"/>
      <c r="BB18" s="23"/>
      <c r="BC18" s="23"/>
      <c r="BD18" s="24"/>
      <c r="BE18" s="23"/>
      <c r="BF18" s="23"/>
      <c r="BG18" s="23"/>
      <c r="BH18" s="23"/>
      <c r="BI18" s="23"/>
      <c r="BJ18" s="23"/>
      <c r="BK18" s="23"/>
      <c r="BL18" s="23"/>
      <c r="BM18" s="23"/>
      <c r="BN18" s="24"/>
      <c r="BO18" s="23"/>
      <c r="BP18" s="23"/>
      <c r="BQ18" s="23"/>
      <c r="BR18" s="23"/>
      <c r="BS18" s="24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4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4"/>
      <c r="CS18" s="24"/>
      <c r="CT18" s="24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4"/>
      <c r="DM18" s="23"/>
      <c r="DN18" s="23"/>
      <c r="DO18" s="23"/>
      <c r="DP18" s="23"/>
      <c r="DQ18" s="23"/>
      <c r="DR18" s="24"/>
      <c r="DS18" s="24"/>
      <c r="DT18" s="24"/>
      <c r="DU18" s="23"/>
      <c r="DV18" s="23"/>
      <c r="DW18" s="23"/>
      <c r="DX18" s="23"/>
      <c r="DY18" s="23"/>
      <c r="DZ18" s="23"/>
      <c r="EA18" s="24"/>
    </row>
    <row r="19" spans="1:131">
      <c r="A19" s="24"/>
      <c r="B19" s="24"/>
      <c r="C19" s="24"/>
      <c r="D19" s="24"/>
      <c r="E19" s="24"/>
      <c r="F19" s="24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4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4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4"/>
      <c r="AW19" s="23"/>
      <c r="AX19" s="23"/>
      <c r="AY19" s="23"/>
      <c r="AZ19" s="23"/>
      <c r="BA19" s="23"/>
      <c r="BB19" s="23"/>
      <c r="BC19" s="23"/>
      <c r="BD19" s="24"/>
      <c r="BE19" s="23"/>
      <c r="BF19" s="23"/>
      <c r="BG19" s="23"/>
      <c r="BH19" s="23"/>
      <c r="BI19" s="23"/>
      <c r="BJ19" s="23"/>
      <c r="BK19" s="23"/>
      <c r="BL19" s="23"/>
      <c r="BM19" s="23"/>
      <c r="BN19" s="24"/>
      <c r="BO19" s="23"/>
      <c r="BP19" s="23"/>
      <c r="BQ19" s="23"/>
      <c r="BR19" s="23"/>
      <c r="BS19" s="24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4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4"/>
      <c r="CS19" s="24"/>
      <c r="CT19" s="24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4"/>
      <c r="DM19" s="23"/>
      <c r="DN19" s="23"/>
      <c r="DO19" s="23"/>
      <c r="DP19" s="23"/>
      <c r="DQ19" s="23"/>
      <c r="DR19" s="24"/>
      <c r="DS19" s="24"/>
      <c r="DT19" s="24"/>
      <c r="DU19" s="23"/>
      <c r="DV19" s="23"/>
      <c r="DW19" s="23"/>
      <c r="DX19" s="23"/>
      <c r="DY19" s="23"/>
      <c r="DZ19" s="23"/>
      <c r="EA19" s="24"/>
    </row>
    <row r="20" spans="1:131">
      <c r="A20" s="24"/>
      <c r="B20" s="24"/>
      <c r="C20" s="24"/>
      <c r="D20" s="24"/>
      <c r="E20" s="24"/>
      <c r="F20" s="24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4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4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4"/>
      <c r="AW20" s="23"/>
      <c r="AX20" s="23"/>
      <c r="AY20" s="23"/>
      <c r="AZ20" s="23"/>
      <c r="BA20" s="23"/>
      <c r="BB20" s="23"/>
      <c r="BC20" s="23"/>
      <c r="BD20" s="24"/>
      <c r="BE20" s="23"/>
      <c r="BF20" s="23"/>
      <c r="BG20" s="23"/>
      <c r="BH20" s="23"/>
      <c r="BI20" s="23"/>
      <c r="BJ20" s="23"/>
      <c r="BK20" s="23"/>
      <c r="BL20" s="23"/>
      <c r="BM20" s="23"/>
      <c r="BN20" s="24"/>
      <c r="BO20" s="23"/>
      <c r="BP20" s="23"/>
      <c r="BQ20" s="23"/>
      <c r="BR20" s="23"/>
      <c r="BS20" s="24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4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4"/>
      <c r="CS20" s="24"/>
      <c r="CT20" s="24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4"/>
      <c r="DM20" s="23"/>
      <c r="DN20" s="23"/>
      <c r="DO20" s="23"/>
      <c r="DP20" s="23"/>
      <c r="DQ20" s="23"/>
      <c r="DR20" s="24"/>
      <c r="DS20" s="24"/>
      <c r="DT20" s="24"/>
      <c r="DU20" s="23"/>
      <c r="DV20" s="23"/>
      <c r="DW20" s="23"/>
      <c r="DX20" s="23"/>
      <c r="DY20" s="23"/>
      <c r="DZ20" s="23"/>
      <c r="EA20" s="24"/>
    </row>
    <row r="21" spans="1:131">
      <c r="A21" s="24"/>
      <c r="B21" s="24"/>
      <c r="C21" s="24"/>
      <c r="D21" s="24"/>
      <c r="E21" s="24"/>
      <c r="F21" s="24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4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4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4"/>
      <c r="AW21" s="23"/>
      <c r="AX21" s="23"/>
      <c r="AY21" s="23"/>
      <c r="AZ21" s="23"/>
      <c r="BA21" s="23"/>
      <c r="BB21" s="23"/>
      <c r="BC21" s="23"/>
      <c r="BD21" s="24"/>
      <c r="BE21" s="23"/>
      <c r="BF21" s="23"/>
      <c r="BG21" s="23"/>
      <c r="BH21" s="23"/>
      <c r="BI21" s="23"/>
      <c r="BJ21" s="23"/>
      <c r="BK21" s="23"/>
      <c r="BL21" s="23"/>
      <c r="BM21" s="23"/>
      <c r="BN21" s="24"/>
      <c r="BO21" s="23"/>
      <c r="BP21" s="23"/>
      <c r="BQ21" s="23"/>
      <c r="BR21" s="23"/>
      <c r="BS21" s="24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4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4"/>
      <c r="CS21" s="24"/>
      <c r="CT21" s="24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4"/>
      <c r="DM21" s="23"/>
      <c r="DN21" s="23"/>
      <c r="DO21" s="23"/>
      <c r="DP21" s="23"/>
      <c r="DQ21" s="23"/>
      <c r="DR21" s="24"/>
      <c r="DS21" s="24"/>
      <c r="DT21" s="24"/>
      <c r="DU21" s="23"/>
      <c r="DV21" s="23"/>
      <c r="DW21" s="23"/>
      <c r="DX21" s="23"/>
      <c r="DY21" s="23"/>
      <c r="DZ21" s="23"/>
      <c r="EA21" s="24"/>
    </row>
    <row r="22" spans="1:131">
      <c r="A22" s="24"/>
      <c r="B22" s="24"/>
      <c r="C22" s="24"/>
      <c r="D22" s="24"/>
      <c r="E22" s="24"/>
      <c r="F22" s="24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4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4"/>
      <c r="AW22" s="23"/>
      <c r="AX22" s="23"/>
      <c r="AY22" s="23"/>
      <c r="AZ22" s="23"/>
      <c r="BA22" s="23"/>
      <c r="BB22" s="23"/>
      <c r="BC22" s="23"/>
      <c r="BD22" s="24"/>
      <c r="BE22" s="23"/>
      <c r="BF22" s="23"/>
      <c r="BG22" s="23"/>
      <c r="BH22" s="23"/>
      <c r="BI22" s="23"/>
      <c r="BJ22" s="23"/>
      <c r="BK22" s="23"/>
      <c r="BL22" s="23"/>
      <c r="BM22" s="23"/>
      <c r="BN22" s="24"/>
      <c r="BO22" s="23"/>
      <c r="BP22" s="23"/>
      <c r="BQ22" s="23"/>
      <c r="BR22" s="23"/>
      <c r="BS22" s="24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4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4"/>
      <c r="CS22" s="24"/>
      <c r="CT22" s="24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4"/>
      <c r="DM22" s="23"/>
      <c r="DN22" s="23"/>
      <c r="DO22" s="23"/>
      <c r="DP22" s="23"/>
      <c r="DQ22" s="23"/>
      <c r="DR22" s="24"/>
      <c r="DS22" s="24"/>
      <c r="DT22" s="24"/>
      <c r="DU22" s="23"/>
      <c r="DV22" s="23"/>
      <c r="DW22" s="23"/>
      <c r="DX22" s="23"/>
      <c r="DY22" s="23"/>
      <c r="DZ22" s="23"/>
      <c r="EA22" s="24"/>
    </row>
    <row r="23" spans="1:131">
      <c r="A23" s="24"/>
      <c r="B23" s="24"/>
      <c r="C23" s="24"/>
      <c r="D23" s="24"/>
      <c r="E23" s="24"/>
      <c r="F23" s="24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4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4"/>
      <c r="AW23" s="23"/>
      <c r="AX23" s="23"/>
      <c r="AY23" s="23"/>
      <c r="AZ23" s="23"/>
      <c r="BA23" s="23"/>
      <c r="BB23" s="23"/>
      <c r="BC23" s="23"/>
      <c r="BD23" s="24"/>
      <c r="BE23" s="23"/>
      <c r="BF23" s="23"/>
      <c r="BG23" s="23"/>
      <c r="BH23" s="23"/>
      <c r="BI23" s="23"/>
      <c r="BJ23" s="23"/>
      <c r="BK23" s="23"/>
      <c r="BL23" s="23"/>
      <c r="BM23" s="23"/>
      <c r="BN23" s="24"/>
      <c r="BO23" s="23"/>
      <c r="BP23" s="23"/>
      <c r="BQ23" s="23"/>
      <c r="BR23" s="23"/>
      <c r="BS23" s="24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4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4"/>
      <c r="CS23" s="24"/>
      <c r="CT23" s="24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4"/>
      <c r="DM23" s="23"/>
      <c r="DN23" s="23"/>
      <c r="DO23" s="23"/>
      <c r="DP23" s="23"/>
      <c r="DQ23" s="23"/>
      <c r="DR23" s="24"/>
      <c r="DS23" s="24"/>
      <c r="DT23" s="24"/>
      <c r="DU23" s="23"/>
      <c r="DV23" s="23"/>
      <c r="DW23" s="23"/>
      <c r="DX23" s="23"/>
      <c r="DY23" s="23"/>
      <c r="DZ23" s="23"/>
      <c r="EA23" s="24"/>
    </row>
    <row r="24" spans="1:131">
      <c r="A24" s="24"/>
      <c r="B24" s="24"/>
      <c r="C24" s="24"/>
      <c r="D24" s="24"/>
      <c r="E24" s="24"/>
      <c r="F24" s="24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4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4"/>
      <c r="AW24" s="23"/>
      <c r="AX24" s="23"/>
      <c r="AY24" s="23"/>
      <c r="AZ24" s="23"/>
      <c r="BA24" s="23"/>
      <c r="BB24" s="23"/>
      <c r="BC24" s="23"/>
      <c r="BD24" s="24"/>
      <c r="BE24" s="23"/>
      <c r="BF24" s="23"/>
      <c r="BG24" s="23"/>
      <c r="BH24" s="23"/>
      <c r="BI24" s="23"/>
      <c r="BJ24" s="23"/>
      <c r="BK24" s="23"/>
      <c r="BL24" s="23"/>
      <c r="BM24" s="23"/>
      <c r="BN24" s="24"/>
      <c r="BO24" s="23"/>
      <c r="BP24" s="23"/>
      <c r="BQ24" s="23"/>
      <c r="BR24" s="23"/>
      <c r="BS24" s="24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4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4"/>
      <c r="CS24" s="24"/>
      <c r="CT24" s="24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4"/>
      <c r="DM24" s="23"/>
      <c r="DN24" s="23"/>
      <c r="DO24" s="23"/>
      <c r="DP24" s="23"/>
      <c r="DQ24" s="23"/>
      <c r="DR24" s="24"/>
      <c r="DS24" s="24"/>
      <c r="DT24" s="24"/>
      <c r="DU24" s="23"/>
      <c r="DV24" s="23"/>
      <c r="DW24" s="23"/>
      <c r="DX24" s="23"/>
      <c r="DY24" s="23"/>
      <c r="DZ24" s="23"/>
      <c r="EA24" s="24"/>
    </row>
    <row r="25" spans="1:131">
      <c r="A25" s="24"/>
      <c r="B25" s="24"/>
      <c r="C25" s="24"/>
      <c r="D25" s="24"/>
      <c r="E25" s="24"/>
      <c r="F25" s="24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4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4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4"/>
      <c r="AW25" s="23"/>
      <c r="AX25" s="23"/>
      <c r="AY25" s="23"/>
      <c r="AZ25" s="23"/>
      <c r="BA25" s="23"/>
      <c r="BB25" s="23"/>
      <c r="BC25" s="23"/>
      <c r="BD25" s="24"/>
      <c r="BE25" s="23"/>
      <c r="BF25" s="23"/>
      <c r="BG25" s="23"/>
      <c r="BH25" s="23"/>
      <c r="BI25" s="23"/>
      <c r="BJ25" s="23"/>
      <c r="BK25" s="23"/>
      <c r="BL25" s="23"/>
      <c r="BM25" s="23"/>
      <c r="BN25" s="24"/>
      <c r="BO25" s="23"/>
      <c r="BP25" s="23"/>
      <c r="BQ25" s="23"/>
      <c r="BR25" s="23"/>
      <c r="BS25" s="24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4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4"/>
      <c r="CS25" s="24"/>
      <c r="CT25" s="24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4"/>
      <c r="DM25" s="23"/>
      <c r="DN25" s="23"/>
      <c r="DO25" s="23"/>
      <c r="DP25" s="23"/>
      <c r="DQ25" s="23"/>
      <c r="DR25" s="24"/>
      <c r="DS25" s="24"/>
      <c r="DT25" s="24"/>
      <c r="DU25" s="23"/>
      <c r="DV25" s="23"/>
      <c r="DW25" s="23"/>
      <c r="DX25" s="23"/>
      <c r="DY25" s="23"/>
      <c r="DZ25" s="23"/>
      <c r="EA25" s="24"/>
    </row>
    <row r="26" spans="1:131">
      <c r="A26" s="24"/>
      <c r="B26" s="24"/>
      <c r="C26" s="24"/>
      <c r="D26" s="24"/>
      <c r="E26" s="24"/>
      <c r="F26" s="24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4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4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4"/>
      <c r="AW26" s="23"/>
      <c r="AX26" s="23"/>
      <c r="AY26" s="23"/>
      <c r="AZ26" s="23"/>
      <c r="BA26" s="23"/>
      <c r="BB26" s="23"/>
      <c r="BC26" s="23"/>
      <c r="BD26" s="24"/>
      <c r="BE26" s="23"/>
      <c r="BF26" s="23"/>
      <c r="BG26" s="23"/>
      <c r="BH26" s="23"/>
      <c r="BI26" s="23"/>
      <c r="BJ26" s="23"/>
      <c r="BK26" s="23"/>
      <c r="BL26" s="23"/>
      <c r="BM26" s="23"/>
      <c r="BN26" s="24"/>
      <c r="BO26" s="23"/>
      <c r="BP26" s="23"/>
      <c r="BQ26" s="23"/>
      <c r="BR26" s="23"/>
      <c r="BS26" s="24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4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4"/>
      <c r="CS26" s="24"/>
      <c r="CT26" s="24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4"/>
      <c r="DM26" s="23"/>
      <c r="DN26" s="23"/>
      <c r="DO26" s="23"/>
      <c r="DP26" s="23"/>
      <c r="DQ26" s="23"/>
      <c r="DR26" s="24"/>
      <c r="DS26" s="24"/>
      <c r="DT26" s="24"/>
      <c r="DU26" s="23"/>
      <c r="DV26" s="23"/>
      <c r="DW26" s="23"/>
      <c r="DX26" s="23"/>
      <c r="DY26" s="23"/>
      <c r="DZ26" s="23"/>
      <c r="EA26" s="24"/>
    </row>
    <row r="27" spans="1:131">
      <c r="A27" s="24"/>
      <c r="B27" s="24"/>
      <c r="C27" s="24"/>
      <c r="D27" s="24"/>
      <c r="E27" s="24"/>
      <c r="F27" s="24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4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4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4"/>
      <c r="AW27" s="23"/>
      <c r="AX27" s="23"/>
      <c r="AY27" s="23"/>
      <c r="AZ27" s="23"/>
      <c r="BA27" s="23"/>
      <c r="BB27" s="23"/>
      <c r="BC27" s="23"/>
      <c r="BD27" s="24"/>
      <c r="BE27" s="23"/>
      <c r="BF27" s="23"/>
      <c r="BG27" s="23"/>
      <c r="BH27" s="23"/>
      <c r="BI27" s="23"/>
      <c r="BJ27" s="23"/>
      <c r="BK27" s="23"/>
      <c r="BL27" s="23"/>
      <c r="BM27" s="23"/>
      <c r="BN27" s="24"/>
      <c r="BO27" s="23"/>
      <c r="BP27" s="23"/>
      <c r="BQ27" s="23"/>
      <c r="BR27" s="23"/>
      <c r="BS27" s="24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4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4"/>
      <c r="CS27" s="24"/>
      <c r="CT27" s="24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4"/>
      <c r="DM27" s="23"/>
      <c r="DN27" s="23"/>
      <c r="DO27" s="23"/>
      <c r="DP27" s="23"/>
      <c r="DQ27" s="23"/>
      <c r="DR27" s="24"/>
      <c r="DS27" s="24"/>
      <c r="DT27" s="24"/>
      <c r="DU27" s="23"/>
      <c r="DV27" s="23"/>
      <c r="DW27" s="23"/>
      <c r="DX27" s="23"/>
      <c r="DY27" s="23"/>
      <c r="DZ27" s="23"/>
      <c r="EA27" s="24"/>
    </row>
    <row r="28" spans="1:131">
      <c r="A28" s="24"/>
      <c r="B28" s="24"/>
      <c r="C28" s="24"/>
      <c r="D28" s="24"/>
      <c r="E28" s="24"/>
      <c r="F28" s="24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4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4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4"/>
      <c r="AW28" s="23"/>
      <c r="AX28" s="23"/>
      <c r="AY28" s="23"/>
      <c r="AZ28" s="23"/>
      <c r="BA28" s="23"/>
      <c r="BB28" s="23"/>
      <c r="BC28" s="23"/>
      <c r="BD28" s="24"/>
      <c r="BE28" s="23"/>
      <c r="BF28" s="23"/>
      <c r="BG28" s="23"/>
      <c r="BH28" s="23"/>
      <c r="BI28" s="23"/>
      <c r="BJ28" s="23"/>
      <c r="BK28" s="23"/>
      <c r="BL28" s="23"/>
      <c r="BM28" s="23"/>
      <c r="BN28" s="24"/>
      <c r="BO28" s="23"/>
      <c r="BP28" s="23"/>
      <c r="BQ28" s="23"/>
      <c r="BR28" s="23"/>
      <c r="BS28" s="24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4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4"/>
      <c r="CS28" s="24"/>
      <c r="CT28" s="24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4"/>
      <c r="DM28" s="23"/>
      <c r="DN28" s="23"/>
      <c r="DO28" s="23"/>
      <c r="DP28" s="23"/>
      <c r="DQ28" s="23"/>
      <c r="DR28" s="24"/>
      <c r="DS28" s="24"/>
      <c r="DT28" s="24"/>
      <c r="DU28" s="23"/>
      <c r="DV28" s="23"/>
      <c r="DW28" s="23"/>
      <c r="DX28" s="23"/>
      <c r="DY28" s="23"/>
      <c r="DZ28" s="23"/>
      <c r="EA28" s="24"/>
    </row>
    <row r="29" spans="1:131">
      <c r="A29" s="24"/>
      <c r="B29" s="24"/>
      <c r="C29" s="24"/>
      <c r="D29" s="24"/>
      <c r="E29" s="24"/>
      <c r="F29" s="24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4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4"/>
      <c r="AW29" s="23"/>
      <c r="AX29" s="23"/>
      <c r="AY29" s="23"/>
      <c r="AZ29" s="23"/>
      <c r="BA29" s="23"/>
      <c r="BB29" s="23"/>
      <c r="BC29" s="23"/>
      <c r="BD29" s="24"/>
      <c r="BE29" s="23"/>
      <c r="BF29" s="23"/>
      <c r="BG29" s="23"/>
      <c r="BH29" s="23"/>
      <c r="BI29" s="23"/>
      <c r="BJ29" s="23"/>
      <c r="BK29" s="23"/>
      <c r="BL29" s="23"/>
      <c r="BM29" s="23"/>
      <c r="BN29" s="24"/>
      <c r="BO29" s="23"/>
      <c r="BP29" s="23"/>
      <c r="BQ29" s="23"/>
      <c r="BR29" s="23"/>
      <c r="BS29" s="24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4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4"/>
      <c r="CS29" s="24"/>
      <c r="CT29" s="24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4"/>
      <c r="DM29" s="23"/>
      <c r="DN29" s="23"/>
      <c r="DO29" s="23"/>
      <c r="DP29" s="23"/>
      <c r="DQ29" s="23"/>
      <c r="DR29" s="24"/>
      <c r="DS29" s="24"/>
      <c r="DT29" s="24"/>
      <c r="DU29" s="23"/>
      <c r="DV29" s="23"/>
      <c r="DW29" s="23"/>
      <c r="DX29" s="23"/>
      <c r="DY29" s="23"/>
      <c r="DZ29" s="23"/>
      <c r="EA29" s="24"/>
    </row>
    <row r="30" spans="1:131">
      <c r="A30" s="24"/>
      <c r="B30" s="24"/>
      <c r="C30" s="24"/>
      <c r="D30" s="24"/>
      <c r="E30" s="24"/>
      <c r="F30" s="24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4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4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4"/>
      <c r="AW30" s="23"/>
      <c r="AX30" s="23"/>
      <c r="AY30" s="23"/>
      <c r="AZ30" s="23"/>
      <c r="BA30" s="23"/>
      <c r="BB30" s="23"/>
      <c r="BC30" s="23"/>
      <c r="BD30" s="24"/>
      <c r="BE30" s="23"/>
      <c r="BF30" s="23"/>
      <c r="BG30" s="23"/>
      <c r="BH30" s="23"/>
      <c r="BI30" s="23"/>
      <c r="BJ30" s="23"/>
      <c r="BK30" s="23"/>
      <c r="BL30" s="23"/>
      <c r="BM30" s="23"/>
      <c r="BN30" s="24"/>
      <c r="BO30" s="23"/>
      <c r="BP30" s="23"/>
      <c r="BQ30" s="23"/>
      <c r="BR30" s="23"/>
      <c r="BS30" s="24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4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4"/>
      <c r="CS30" s="24"/>
      <c r="CT30" s="24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4"/>
      <c r="DM30" s="23"/>
      <c r="DN30" s="23"/>
      <c r="DO30" s="23"/>
      <c r="DP30" s="23"/>
      <c r="DQ30" s="23"/>
      <c r="DR30" s="24"/>
      <c r="DS30" s="24"/>
      <c r="DT30" s="24"/>
      <c r="DU30" s="23"/>
      <c r="DV30" s="23"/>
      <c r="DW30" s="23"/>
      <c r="DX30" s="23"/>
      <c r="DY30" s="23"/>
      <c r="DZ30" s="23"/>
      <c r="EA30" s="24"/>
    </row>
    <row r="31" spans="1:131">
      <c r="A31" s="24"/>
      <c r="B31" s="24"/>
      <c r="C31" s="24"/>
      <c r="D31" s="24"/>
      <c r="E31" s="24"/>
      <c r="F31" s="24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4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4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4"/>
      <c r="AW31" s="23"/>
      <c r="AX31" s="23"/>
      <c r="AY31" s="23"/>
      <c r="AZ31" s="23"/>
      <c r="BA31" s="23"/>
      <c r="BB31" s="23"/>
      <c r="BC31" s="23"/>
      <c r="BD31" s="24"/>
      <c r="BE31" s="23"/>
      <c r="BF31" s="23"/>
      <c r="BG31" s="23"/>
      <c r="BH31" s="23"/>
      <c r="BI31" s="23"/>
      <c r="BJ31" s="23"/>
      <c r="BK31" s="23"/>
      <c r="BL31" s="23"/>
      <c r="BM31" s="23"/>
      <c r="BN31" s="24"/>
      <c r="BO31" s="23"/>
      <c r="BP31" s="23"/>
      <c r="BQ31" s="23"/>
      <c r="BR31" s="23"/>
      <c r="BS31" s="24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4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4"/>
      <c r="CS31" s="24"/>
      <c r="CT31" s="24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4"/>
      <c r="DM31" s="23"/>
      <c r="DN31" s="23"/>
      <c r="DO31" s="23"/>
      <c r="DP31" s="23"/>
      <c r="DQ31" s="23"/>
      <c r="DR31" s="24"/>
      <c r="DS31" s="24"/>
      <c r="DT31" s="24"/>
      <c r="DU31" s="23"/>
      <c r="DV31" s="23"/>
      <c r="DW31" s="23"/>
      <c r="DX31" s="23"/>
      <c r="DY31" s="23"/>
      <c r="DZ31" s="23"/>
      <c r="EA31" s="24"/>
    </row>
    <row r="32" spans="1:131">
      <c r="A32" s="24"/>
      <c r="B32" s="24"/>
      <c r="C32" s="24"/>
      <c r="D32" s="24"/>
      <c r="E32" s="24"/>
      <c r="F32" s="24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4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4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4"/>
      <c r="AW32" s="23"/>
      <c r="AX32" s="23"/>
      <c r="AY32" s="23"/>
      <c r="AZ32" s="23"/>
      <c r="BA32" s="23"/>
      <c r="BB32" s="23"/>
      <c r="BC32" s="23"/>
      <c r="BD32" s="24"/>
      <c r="BE32" s="23"/>
      <c r="BF32" s="23"/>
      <c r="BG32" s="23"/>
      <c r="BH32" s="23"/>
      <c r="BI32" s="23"/>
      <c r="BJ32" s="23"/>
      <c r="BK32" s="23"/>
      <c r="BL32" s="23"/>
      <c r="BM32" s="23"/>
      <c r="BN32" s="24"/>
      <c r="BO32" s="23"/>
      <c r="BP32" s="23"/>
      <c r="BQ32" s="23"/>
      <c r="BR32" s="23"/>
      <c r="BS32" s="24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4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4"/>
      <c r="CS32" s="24"/>
      <c r="CT32" s="24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4"/>
      <c r="DM32" s="23"/>
      <c r="DN32" s="23"/>
      <c r="DO32" s="23"/>
      <c r="DP32" s="23"/>
      <c r="DQ32" s="23"/>
      <c r="DR32" s="24"/>
      <c r="DS32" s="24"/>
      <c r="DT32" s="24"/>
      <c r="DU32" s="23"/>
      <c r="DV32" s="23"/>
      <c r="DW32" s="23"/>
      <c r="DX32" s="23"/>
      <c r="DY32" s="23"/>
      <c r="DZ32" s="23"/>
      <c r="EA32" s="24"/>
    </row>
    <row r="33" spans="1:131">
      <c r="A33" s="24"/>
      <c r="B33" s="24"/>
      <c r="C33" s="24"/>
      <c r="D33" s="24"/>
      <c r="E33" s="24"/>
      <c r="F33" s="24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4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4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4"/>
      <c r="AW33" s="23"/>
      <c r="AX33" s="23"/>
      <c r="AY33" s="23"/>
      <c r="AZ33" s="23"/>
      <c r="BA33" s="23"/>
      <c r="BB33" s="23"/>
      <c r="BC33" s="23"/>
      <c r="BD33" s="24"/>
      <c r="BE33" s="23"/>
      <c r="BF33" s="23"/>
      <c r="BG33" s="23"/>
      <c r="BH33" s="23"/>
      <c r="BI33" s="23"/>
      <c r="BJ33" s="23"/>
      <c r="BK33" s="23"/>
      <c r="BL33" s="23"/>
      <c r="BM33" s="23"/>
      <c r="BN33" s="24"/>
      <c r="BO33" s="23"/>
      <c r="BP33" s="23"/>
      <c r="BQ33" s="23"/>
      <c r="BR33" s="23"/>
      <c r="BS33" s="24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4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4"/>
      <c r="CS33" s="24"/>
      <c r="CT33" s="24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4"/>
      <c r="DM33" s="23"/>
      <c r="DN33" s="23"/>
      <c r="DO33" s="23"/>
      <c r="DP33" s="23"/>
      <c r="DQ33" s="23"/>
      <c r="DR33" s="24"/>
      <c r="DS33" s="24"/>
      <c r="DT33" s="24"/>
      <c r="DU33" s="23"/>
      <c r="DV33" s="23"/>
      <c r="DW33" s="23"/>
      <c r="DX33" s="23"/>
      <c r="DY33" s="23"/>
      <c r="DZ33" s="23"/>
      <c r="EA33" s="24"/>
    </row>
    <row r="34" spans="1:131">
      <c r="A34" s="24"/>
      <c r="B34" s="24"/>
      <c r="C34" s="24"/>
      <c r="D34" s="24"/>
      <c r="E34" s="24"/>
      <c r="F34" s="24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4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4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4"/>
      <c r="AW34" s="23"/>
      <c r="AX34" s="23"/>
      <c r="AY34" s="23"/>
      <c r="AZ34" s="23"/>
      <c r="BA34" s="23"/>
      <c r="BB34" s="23"/>
      <c r="BC34" s="23"/>
      <c r="BD34" s="24"/>
      <c r="BE34" s="23"/>
      <c r="BF34" s="23"/>
      <c r="BG34" s="23"/>
      <c r="BH34" s="23"/>
      <c r="BI34" s="23"/>
      <c r="BJ34" s="23"/>
      <c r="BK34" s="23"/>
      <c r="BL34" s="23"/>
      <c r="BM34" s="23"/>
      <c r="BN34" s="24"/>
      <c r="BO34" s="23"/>
      <c r="BP34" s="23"/>
      <c r="BQ34" s="23"/>
      <c r="BR34" s="23"/>
      <c r="BS34" s="24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4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4"/>
      <c r="CS34" s="24"/>
      <c r="CT34" s="24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4"/>
      <c r="DM34" s="23"/>
      <c r="DN34" s="23"/>
      <c r="DO34" s="23"/>
      <c r="DP34" s="23"/>
      <c r="DQ34" s="23"/>
      <c r="DR34" s="24"/>
      <c r="DS34" s="24"/>
      <c r="DT34" s="24"/>
      <c r="DU34" s="23"/>
      <c r="DV34" s="23"/>
      <c r="DW34" s="23"/>
      <c r="DX34" s="23"/>
      <c r="DY34" s="23"/>
      <c r="DZ34" s="23"/>
      <c r="EA34" s="24"/>
    </row>
    <row r="35" spans="1:131">
      <c r="A35" s="24"/>
      <c r="B35" s="24"/>
      <c r="C35" s="24"/>
      <c r="D35" s="24"/>
      <c r="E35" s="24"/>
      <c r="F35" s="24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4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4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4"/>
      <c r="AW35" s="23"/>
      <c r="AX35" s="23"/>
      <c r="AY35" s="23"/>
      <c r="AZ35" s="23"/>
      <c r="BA35" s="23"/>
      <c r="BB35" s="23"/>
      <c r="BC35" s="23"/>
      <c r="BD35" s="24"/>
      <c r="BE35" s="23"/>
      <c r="BF35" s="23"/>
      <c r="BG35" s="23"/>
      <c r="BH35" s="23"/>
      <c r="BI35" s="23"/>
      <c r="BJ35" s="23"/>
      <c r="BK35" s="23"/>
      <c r="BL35" s="23"/>
      <c r="BM35" s="23"/>
      <c r="BN35" s="24"/>
      <c r="BO35" s="23"/>
      <c r="BP35" s="23"/>
      <c r="BQ35" s="23"/>
      <c r="BR35" s="23"/>
      <c r="BS35" s="24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4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4"/>
      <c r="CS35" s="24"/>
      <c r="CT35" s="24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4"/>
      <c r="DM35" s="23"/>
      <c r="DN35" s="23"/>
      <c r="DO35" s="23"/>
      <c r="DP35" s="23"/>
      <c r="DQ35" s="23"/>
      <c r="DR35" s="24"/>
      <c r="DS35" s="24"/>
      <c r="DT35" s="24"/>
      <c r="DU35" s="23"/>
      <c r="DV35" s="23"/>
      <c r="DW35" s="23"/>
      <c r="DX35" s="23"/>
      <c r="DY35" s="23"/>
      <c r="DZ35" s="23"/>
      <c r="EA35" s="24"/>
    </row>
    <row r="36" spans="1:131">
      <c r="A36" s="24"/>
      <c r="B36" s="24"/>
      <c r="C36" s="24"/>
      <c r="D36" s="24"/>
      <c r="E36" s="24"/>
      <c r="F36" s="24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4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4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4"/>
      <c r="AW36" s="23"/>
      <c r="AX36" s="23"/>
      <c r="AY36" s="23"/>
      <c r="AZ36" s="23"/>
      <c r="BA36" s="23"/>
      <c r="BB36" s="23"/>
      <c r="BC36" s="23"/>
      <c r="BD36" s="24"/>
      <c r="BE36" s="23"/>
      <c r="BF36" s="23"/>
      <c r="BG36" s="23"/>
      <c r="BH36" s="23"/>
      <c r="BI36" s="23"/>
      <c r="BJ36" s="23"/>
      <c r="BK36" s="23"/>
      <c r="BL36" s="23"/>
      <c r="BM36" s="23"/>
      <c r="BN36" s="24"/>
      <c r="BO36" s="23"/>
      <c r="BP36" s="23"/>
      <c r="BQ36" s="23"/>
      <c r="BR36" s="23"/>
      <c r="BS36" s="24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4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4"/>
      <c r="CS36" s="24"/>
      <c r="CT36" s="24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4"/>
      <c r="DM36" s="23"/>
      <c r="DN36" s="23"/>
      <c r="DO36" s="23"/>
      <c r="DP36" s="23"/>
      <c r="DQ36" s="23"/>
      <c r="DR36" s="24"/>
      <c r="DS36" s="24"/>
      <c r="DT36" s="24"/>
      <c r="DU36" s="23"/>
      <c r="DV36" s="23"/>
      <c r="DW36" s="23"/>
      <c r="DX36" s="23"/>
      <c r="DY36" s="23"/>
      <c r="DZ36" s="23"/>
      <c r="EA36" s="24"/>
    </row>
    <row r="37" spans="1:131">
      <c r="A37" s="24"/>
      <c r="B37" s="24"/>
      <c r="C37" s="24"/>
      <c r="D37" s="24"/>
      <c r="E37" s="24"/>
      <c r="F37" s="24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4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4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4"/>
      <c r="AW37" s="23"/>
      <c r="AX37" s="23"/>
      <c r="AY37" s="23"/>
      <c r="AZ37" s="23"/>
      <c r="BA37" s="23"/>
      <c r="BB37" s="23"/>
      <c r="BC37" s="23"/>
      <c r="BD37" s="24"/>
      <c r="BE37" s="23"/>
      <c r="BF37" s="23"/>
      <c r="BG37" s="23"/>
      <c r="BH37" s="23"/>
      <c r="BI37" s="23"/>
      <c r="BJ37" s="23"/>
      <c r="BK37" s="23"/>
      <c r="BL37" s="23"/>
      <c r="BM37" s="23"/>
      <c r="BN37" s="24"/>
      <c r="BO37" s="23"/>
      <c r="BP37" s="23"/>
      <c r="BQ37" s="23"/>
      <c r="BR37" s="23"/>
      <c r="BS37" s="24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4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4"/>
      <c r="CS37" s="24"/>
      <c r="CT37" s="24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4"/>
      <c r="DM37" s="23"/>
      <c r="DN37" s="23"/>
      <c r="DO37" s="23"/>
      <c r="DP37" s="23"/>
      <c r="DQ37" s="23"/>
      <c r="DR37" s="24"/>
      <c r="DS37" s="24"/>
      <c r="DT37" s="24"/>
      <c r="DU37" s="23"/>
      <c r="DV37" s="23"/>
      <c r="DW37" s="23"/>
      <c r="DX37" s="23"/>
      <c r="DY37" s="23"/>
      <c r="DZ37" s="23"/>
      <c r="EA37" s="24"/>
    </row>
    <row r="38" spans="1:131">
      <c r="A38" s="24"/>
      <c r="B38" s="24"/>
      <c r="C38" s="24"/>
      <c r="D38" s="24"/>
      <c r="E38" s="24"/>
      <c r="F38" s="24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4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4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4"/>
      <c r="AW38" s="23"/>
      <c r="AX38" s="23"/>
      <c r="AY38" s="23"/>
      <c r="AZ38" s="23"/>
      <c r="BA38" s="23"/>
      <c r="BB38" s="23"/>
      <c r="BC38" s="23"/>
      <c r="BD38" s="24"/>
      <c r="BE38" s="23"/>
      <c r="BF38" s="23"/>
      <c r="BG38" s="23"/>
      <c r="BH38" s="23"/>
      <c r="BI38" s="23"/>
      <c r="BJ38" s="23"/>
      <c r="BK38" s="23"/>
      <c r="BL38" s="23"/>
      <c r="BM38" s="23"/>
      <c r="BN38" s="24"/>
      <c r="BO38" s="23"/>
      <c r="BP38" s="23"/>
      <c r="BQ38" s="23"/>
      <c r="BR38" s="23"/>
      <c r="BS38" s="24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4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4"/>
      <c r="CS38" s="24"/>
      <c r="CT38" s="24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4"/>
      <c r="DM38" s="23"/>
      <c r="DN38" s="23"/>
      <c r="DO38" s="23"/>
      <c r="DP38" s="23"/>
      <c r="DQ38" s="23"/>
      <c r="DR38" s="24"/>
      <c r="DS38" s="24"/>
      <c r="DT38" s="24"/>
      <c r="DU38" s="23"/>
      <c r="DV38" s="23"/>
      <c r="DW38" s="23"/>
      <c r="DX38" s="23"/>
      <c r="DY38" s="23"/>
      <c r="DZ38" s="23"/>
      <c r="EA38" s="24"/>
    </row>
    <row r="39" spans="1:131">
      <c r="A39" s="24"/>
      <c r="B39" s="24"/>
      <c r="C39" s="24"/>
      <c r="D39" s="24"/>
      <c r="E39" s="24"/>
      <c r="F39" s="24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4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4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4"/>
      <c r="AW39" s="23"/>
      <c r="AX39" s="23"/>
      <c r="AY39" s="23"/>
      <c r="AZ39" s="23"/>
      <c r="BA39" s="23"/>
      <c r="BB39" s="23"/>
      <c r="BC39" s="23"/>
      <c r="BD39" s="24"/>
      <c r="BE39" s="23"/>
      <c r="BF39" s="23"/>
      <c r="BG39" s="23"/>
      <c r="BH39" s="23"/>
      <c r="BI39" s="23"/>
      <c r="BJ39" s="23"/>
      <c r="BK39" s="23"/>
      <c r="BL39" s="23"/>
      <c r="BM39" s="23"/>
      <c r="BN39" s="24"/>
      <c r="BO39" s="23"/>
      <c r="BP39" s="23"/>
      <c r="BQ39" s="23"/>
      <c r="BR39" s="23"/>
      <c r="BS39" s="24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4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4"/>
      <c r="CS39" s="24"/>
      <c r="CT39" s="24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4"/>
      <c r="DM39" s="23"/>
      <c r="DN39" s="23"/>
      <c r="DO39" s="23"/>
      <c r="DP39" s="23"/>
      <c r="DQ39" s="23"/>
      <c r="DR39" s="24"/>
      <c r="DS39" s="24"/>
      <c r="DT39" s="24"/>
      <c r="DU39" s="23"/>
      <c r="DV39" s="23"/>
      <c r="DW39" s="23"/>
      <c r="DX39" s="23"/>
      <c r="DY39" s="23"/>
      <c r="DZ39" s="23"/>
      <c r="EA39" s="24"/>
    </row>
    <row r="40" spans="1:131">
      <c r="A40" s="24"/>
      <c r="B40" s="24"/>
      <c r="C40" s="24"/>
      <c r="D40" s="24"/>
      <c r="E40" s="24"/>
      <c r="F40" s="24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4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4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4"/>
      <c r="AW40" s="23"/>
      <c r="AX40" s="23"/>
      <c r="AY40" s="23"/>
      <c r="AZ40" s="23"/>
      <c r="BA40" s="23"/>
      <c r="BB40" s="23"/>
      <c r="BC40" s="23"/>
      <c r="BD40" s="24"/>
      <c r="BE40" s="23"/>
      <c r="BF40" s="23"/>
      <c r="BG40" s="23"/>
      <c r="BH40" s="23"/>
      <c r="BI40" s="23"/>
      <c r="BJ40" s="23"/>
      <c r="BK40" s="23"/>
      <c r="BL40" s="23"/>
      <c r="BM40" s="23"/>
      <c r="BN40" s="24"/>
      <c r="BO40" s="23"/>
      <c r="BP40" s="23"/>
      <c r="BQ40" s="23"/>
      <c r="BR40" s="23"/>
      <c r="BS40" s="24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4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4"/>
      <c r="CS40" s="24"/>
      <c r="CT40" s="24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4"/>
      <c r="DM40" s="23"/>
      <c r="DN40" s="23"/>
      <c r="DO40" s="23"/>
      <c r="DP40" s="23"/>
      <c r="DQ40" s="23"/>
      <c r="DR40" s="24"/>
      <c r="DS40" s="24"/>
      <c r="DT40" s="24"/>
      <c r="DU40" s="23"/>
      <c r="DV40" s="23"/>
      <c r="DW40" s="23"/>
      <c r="DX40" s="23"/>
      <c r="DY40" s="23"/>
      <c r="DZ40" s="23"/>
      <c r="EA40" s="24"/>
    </row>
    <row r="41" spans="1:131">
      <c r="A41" s="24"/>
      <c r="B41" s="24"/>
      <c r="C41" s="24"/>
      <c r="D41" s="24"/>
      <c r="E41" s="24"/>
      <c r="F41" s="24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4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4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4"/>
      <c r="AW41" s="23"/>
      <c r="AX41" s="23"/>
      <c r="AY41" s="23"/>
      <c r="AZ41" s="23"/>
      <c r="BA41" s="23"/>
      <c r="BB41" s="23"/>
      <c r="BC41" s="23"/>
      <c r="BD41" s="24"/>
      <c r="BE41" s="23"/>
      <c r="BF41" s="23"/>
      <c r="BG41" s="23"/>
      <c r="BH41" s="23"/>
      <c r="BI41" s="23"/>
      <c r="BJ41" s="23"/>
      <c r="BK41" s="23"/>
      <c r="BL41" s="23"/>
      <c r="BM41" s="23"/>
      <c r="BN41" s="24"/>
      <c r="BO41" s="23"/>
      <c r="BP41" s="23"/>
      <c r="BQ41" s="23"/>
      <c r="BR41" s="23"/>
      <c r="BS41" s="24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4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4"/>
      <c r="CS41" s="24"/>
      <c r="CT41" s="24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4"/>
      <c r="DM41" s="23"/>
      <c r="DN41" s="23"/>
      <c r="DO41" s="23"/>
      <c r="DP41" s="23"/>
      <c r="DQ41" s="23"/>
      <c r="DR41" s="24"/>
      <c r="DS41" s="24"/>
      <c r="DT41" s="24"/>
      <c r="DU41" s="23"/>
      <c r="DV41" s="23"/>
      <c r="DW41" s="23"/>
      <c r="DX41" s="23"/>
      <c r="DY41" s="23"/>
      <c r="DZ41" s="23"/>
      <c r="EA41" s="24"/>
    </row>
    <row r="42" spans="1:131">
      <c r="A42" s="24"/>
      <c r="B42" s="24"/>
      <c r="C42" s="24"/>
      <c r="D42" s="24"/>
      <c r="E42" s="24"/>
      <c r="F42" s="24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4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4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4"/>
      <c r="AW42" s="23"/>
      <c r="AX42" s="23"/>
      <c r="AY42" s="23"/>
      <c r="AZ42" s="23"/>
      <c r="BA42" s="23"/>
      <c r="BB42" s="23"/>
      <c r="BC42" s="23"/>
      <c r="BD42" s="24"/>
      <c r="BE42" s="23"/>
      <c r="BF42" s="23"/>
      <c r="BG42" s="23"/>
      <c r="BH42" s="23"/>
      <c r="BI42" s="23"/>
      <c r="BJ42" s="23"/>
      <c r="BK42" s="23"/>
      <c r="BL42" s="23"/>
      <c r="BM42" s="23"/>
      <c r="BN42" s="24"/>
      <c r="BO42" s="23"/>
      <c r="BP42" s="23"/>
      <c r="BQ42" s="23"/>
      <c r="BR42" s="23"/>
      <c r="BS42" s="24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4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4"/>
      <c r="CS42" s="24"/>
      <c r="CT42" s="24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4"/>
      <c r="DM42" s="23"/>
      <c r="DN42" s="23"/>
      <c r="DO42" s="23"/>
      <c r="DP42" s="23"/>
      <c r="DQ42" s="23"/>
      <c r="DR42" s="24"/>
      <c r="DS42" s="24"/>
      <c r="DT42" s="24"/>
      <c r="DU42" s="23"/>
      <c r="DV42" s="23"/>
      <c r="DW42" s="23"/>
      <c r="DX42" s="23"/>
      <c r="DY42" s="23"/>
      <c r="DZ42" s="23"/>
      <c r="EA42" s="24"/>
    </row>
    <row r="43" spans="1:131">
      <c r="A43" s="24"/>
      <c r="B43" s="24"/>
      <c r="C43" s="24"/>
      <c r="D43" s="24"/>
      <c r="E43" s="24"/>
      <c r="F43" s="24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4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4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4"/>
      <c r="AW43" s="23"/>
      <c r="AX43" s="23"/>
      <c r="AY43" s="23"/>
      <c r="AZ43" s="23"/>
      <c r="BA43" s="23"/>
      <c r="BB43" s="23"/>
      <c r="BC43" s="23"/>
      <c r="BD43" s="24"/>
      <c r="BE43" s="23"/>
      <c r="BF43" s="23"/>
      <c r="BG43" s="23"/>
      <c r="BH43" s="23"/>
      <c r="BI43" s="23"/>
      <c r="BJ43" s="23"/>
      <c r="BK43" s="23"/>
      <c r="BL43" s="23"/>
      <c r="BM43" s="23"/>
      <c r="BN43" s="24"/>
      <c r="BO43" s="23"/>
      <c r="BP43" s="23"/>
      <c r="BQ43" s="23"/>
      <c r="BR43" s="23"/>
      <c r="BS43" s="24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4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4"/>
      <c r="CS43" s="24"/>
      <c r="CT43" s="24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4"/>
      <c r="DM43" s="23"/>
      <c r="DN43" s="23"/>
      <c r="DO43" s="23"/>
      <c r="DP43" s="23"/>
      <c r="DQ43" s="23"/>
      <c r="DR43" s="24"/>
      <c r="DS43" s="24"/>
      <c r="DT43" s="24"/>
      <c r="DU43" s="23"/>
      <c r="DV43" s="23"/>
      <c r="DW43" s="23"/>
      <c r="DX43" s="23"/>
      <c r="DY43" s="23"/>
      <c r="DZ43" s="23"/>
      <c r="EA43" s="24"/>
    </row>
    <row r="44" spans="1:131">
      <c r="A44" s="24"/>
      <c r="B44" s="24"/>
      <c r="C44" s="24"/>
      <c r="D44" s="24"/>
      <c r="E44" s="24"/>
      <c r="F44" s="24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4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4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4"/>
      <c r="AW44" s="23"/>
      <c r="AX44" s="23"/>
      <c r="AY44" s="23"/>
      <c r="AZ44" s="23"/>
      <c r="BA44" s="23"/>
      <c r="BB44" s="23"/>
      <c r="BC44" s="23"/>
      <c r="BD44" s="24"/>
      <c r="BE44" s="23"/>
      <c r="BF44" s="23"/>
      <c r="BG44" s="23"/>
      <c r="BH44" s="23"/>
      <c r="BI44" s="23"/>
      <c r="BJ44" s="23"/>
      <c r="BK44" s="23"/>
      <c r="BL44" s="23"/>
      <c r="BM44" s="23"/>
      <c r="BN44" s="24"/>
      <c r="BO44" s="23"/>
      <c r="BP44" s="23"/>
      <c r="BQ44" s="23"/>
      <c r="BR44" s="23"/>
      <c r="BS44" s="24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4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4"/>
      <c r="CS44" s="24"/>
      <c r="CT44" s="24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4"/>
      <c r="DM44" s="23"/>
      <c r="DN44" s="23"/>
      <c r="DO44" s="23"/>
      <c r="DP44" s="23"/>
      <c r="DQ44" s="23"/>
      <c r="DR44" s="24"/>
      <c r="DS44" s="24"/>
      <c r="DT44" s="24"/>
      <c r="DU44" s="23"/>
      <c r="DV44" s="23"/>
      <c r="DW44" s="23"/>
      <c r="DX44" s="23"/>
      <c r="DY44" s="23"/>
      <c r="DZ44" s="23"/>
      <c r="EA44" s="24"/>
    </row>
    <row r="45" spans="1:131">
      <c r="A45" s="24"/>
      <c r="B45" s="24"/>
      <c r="C45" s="24"/>
      <c r="D45" s="24"/>
      <c r="E45" s="24"/>
      <c r="F45" s="24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4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4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4"/>
      <c r="AW45" s="23"/>
      <c r="AX45" s="23"/>
      <c r="AY45" s="23"/>
      <c r="AZ45" s="23"/>
      <c r="BA45" s="23"/>
      <c r="BB45" s="23"/>
      <c r="BC45" s="23"/>
      <c r="BD45" s="24"/>
      <c r="BE45" s="23"/>
      <c r="BF45" s="23"/>
      <c r="BG45" s="23"/>
      <c r="BH45" s="23"/>
      <c r="BI45" s="23"/>
      <c r="BJ45" s="23"/>
      <c r="BK45" s="23"/>
      <c r="BL45" s="23"/>
      <c r="BM45" s="23"/>
      <c r="BN45" s="24"/>
      <c r="BO45" s="23"/>
      <c r="BP45" s="23"/>
      <c r="BQ45" s="23"/>
      <c r="BR45" s="23"/>
      <c r="BS45" s="24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4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4"/>
      <c r="CS45" s="24"/>
      <c r="CT45" s="24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4"/>
      <c r="DM45" s="23"/>
      <c r="DN45" s="23"/>
      <c r="DO45" s="23"/>
      <c r="DP45" s="23"/>
      <c r="DQ45" s="23"/>
      <c r="DR45" s="24"/>
      <c r="DS45" s="24"/>
      <c r="DT45" s="24"/>
      <c r="DU45" s="23"/>
      <c r="DV45" s="23"/>
      <c r="DW45" s="23"/>
      <c r="DX45" s="23"/>
      <c r="DY45" s="23"/>
      <c r="DZ45" s="23"/>
      <c r="EA45" s="24"/>
    </row>
    <row r="46" spans="1:131">
      <c r="A46" s="24"/>
      <c r="B46" s="24"/>
      <c r="C46" s="24"/>
      <c r="D46" s="24"/>
      <c r="E46" s="24"/>
      <c r="F46" s="24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4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4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4"/>
      <c r="AW46" s="23"/>
      <c r="AX46" s="23"/>
      <c r="AY46" s="23"/>
      <c r="AZ46" s="23"/>
      <c r="BA46" s="23"/>
      <c r="BB46" s="23"/>
      <c r="BC46" s="23"/>
      <c r="BD46" s="24"/>
      <c r="BE46" s="23"/>
      <c r="BF46" s="23"/>
      <c r="BG46" s="23"/>
      <c r="BH46" s="23"/>
      <c r="BI46" s="23"/>
      <c r="BJ46" s="23"/>
      <c r="BK46" s="23"/>
      <c r="BL46" s="23"/>
      <c r="BM46" s="23"/>
      <c r="BN46" s="24"/>
      <c r="BO46" s="23"/>
      <c r="BP46" s="23"/>
      <c r="BQ46" s="23"/>
      <c r="BR46" s="23"/>
      <c r="BS46" s="24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4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4"/>
      <c r="CS46" s="24"/>
      <c r="CT46" s="24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4"/>
      <c r="DM46" s="23"/>
      <c r="DN46" s="23"/>
      <c r="DO46" s="23"/>
      <c r="DP46" s="23"/>
      <c r="DQ46" s="23"/>
      <c r="DR46" s="24"/>
      <c r="DS46" s="24"/>
      <c r="DT46" s="24"/>
      <c r="DU46" s="23"/>
      <c r="DV46" s="23"/>
      <c r="DW46" s="23"/>
      <c r="DX46" s="23"/>
      <c r="DY46" s="23"/>
      <c r="DZ46" s="23"/>
      <c r="EA46" s="24"/>
    </row>
    <row r="47" spans="1:131">
      <c r="A47" s="24"/>
      <c r="B47" s="24"/>
      <c r="C47" s="24"/>
      <c r="D47" s="24"/>
      <c r="E47" s="24"/>
      <c r="F47" s="24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4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4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4"/>
      <c r="AW47" s="23"/>
      <c r="AX47" s="23"/>
      <c r="AY47" s="23"/>
      <c r="AZ47" s="23"/>
      <c r="BA47" s="23"/>
      <c r="BB47" s="23"/>
      <c r="BC47" s="23"/>
      <c r="BD47" s="24"/>
      <c r="BE47" s="23"/>
      <c r="BF47" s="23"/>
      <c r="BG47" s="23"/>
      <c r="BH47" s="23"/>
      <c r="BI47" s="23"/>
      <c r="BJ47" s="23"/>
      <c r="BK47" s="23"/>
      <c r="BL47" s="23"/>
      <c r="BM47" s="23"/>
      <c r="BN47" s="24"/>
      <c r="BO47" s="23"/>
      <c r="BP47" s="23"/>
      <c r="BQ47" s="23"/>
      <c r="BR47" s="23"/>
      <c r="BS47" s="24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4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4"/>
      <c r="CS47" s="24"/>
      <c r="CT47" s="24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4"/>
      <c r="DM47" s="23"/>
      <c r="DN47" s="23"/>
      <c r="DO47" s="23"/>
      <c r="DP47" s="23"/>
      <c r="DQ47" s="23"/>
      <c r="DR47" s="24"/>
      <c r="DS47" s="24"/>
      <c r="DT47" s="24"/>
      <c r="DU47" s="23"/>
      <c r="DV47" s="23"/>
      <c r="DW47" s="23"/>
      <c r="DX47" s="23"/>
      <c r="DY47" s="23"/>
      <c r="DZ47" s="23"/>
      <c r="EA47" s="24"/>
    </row>
    <row r="48" spans="1:131">
      <c r="A48" s="24"/>
      <c r="B48" s="24"/>
      <c r="C48" s="24"/>
      <c r="D48" s="24"/>
      <c r="E48" s="24"/>
      <c r="F48" s="24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4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4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4"/>
      <c r="AW48" s="23"/>
      <c r="AX48" s="23"/>
      <c r="AY48" s="23"/>
      <c r="AZ48" s="23"/>
      <c r="BA48" s="23"/>
      <c r="BB48" s="23"/>
      <c r="BC48" s="23"/>
      <c r="BD48" s="24"/>
      <c r="BE48" s="23"/>
      <c r="BF48" s="23"/>
      <c r="BG48" s="23"/>
      <c r="BH48" s="23"/>
      <c r="BI48" s="23"/>
      <c r="BJ48" s="23"/>
      <c r="BK48" s="23"/>
      <c r="BL48" s="23"/>
      <c r="BM48" s="23"/>
      <c r="BN48" s="24"/>
      <c r="BO48" s="23"/>
      <c r="BP48" s="23"/>
      <c r="BQ48" s="23"/>
      <c r="BR48" s="23"/>
      <c r="BS48" s="24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4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4"/>
      <c r="CS48" s="24"/>
      <c r="CT48" s="24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4"/>
      <c r="DM48" s="23"/>
      <c r="DN48" s="23"/>
      <c r="DO48" s="23"/>
      <c r="DP48" s="23"/>
      <c r="DQ48" s="23"/>
      <c r="DR48" s="24"/>
      <c r="DS48" s="24"/>
      <c r="DT48" s="24"/>
      <c r="DU48" s="23"/>
      <c r="DV48" s="23"/>
      <c r="DW48" s="23"/>
      <c r="DX48" s="23"/>
      <c r="DY48" s="23"/>
      <c r="DZ48" s="23"/>
      <c r="EA48" s="24"/>
    </row>
    <row r="49" spans="1:131">
      <c r="A49" s="24"/>
      <c r="B49" s="24"/>
      <c r="C49" s="24"/>
      <c r="D49" s="24"/>
      <c r="E49" s="24"/>
      <c r="F49" s="24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4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4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4"/>
      <c r="AW49" s="23"/>
      <c r="AX49" s="23"/>
      <c r="AY49" s="23"/>
      <c r="AZ49" s="23"/>
      <c r="BA49" s="23"/>
      <c r="BB49" s="23"/>
      <c r="BC49" s="23"/>
      <c r="BD49" s="24"/>
      <c r="BE49" s="23"/>
      <c r="BF49" s="23"/>
      <c r="BG49" s="23"/>
      <c r="BH49" s="23"/>
      <c r="BI49" s="23"/>
      <c r="BJ49" s="23"/>
      <c r="BK49" s="23"/>
      <c r="BL49" s="23"/>
      <c r="BM49" s="23"/>
      <c r="BN49" s="24"/>
      <c r="BO49" s="23"/>
      <c r="BP49" s="23"/>
      <c r="BQ49" s="23"/>
      <c r="BR49" s="23"/>
      <c r="BS49" s="24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4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4"/>
      <c r="CS49" s="24"/>
      <c r="CT49" s="24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4"/>
      <c r="DM49" s="23"/>
      <c r="DN49" s="23"/>
      <c r="DO49" s="23"/>
      <c r="DP49" s="23"/>
      <c r="DQ49" s="23"/>
      <c r="DR49" s="24"/>
      <c r="DS49" s="24"/>
      <c r="DT49" s="24"/>
      <c r="DU49" s="23"/>
      <c r="DV49" s="23"/>
      <c r="DW49" s="23"/>
      <c r="DX49" s="23"/>
      <c r="DY49" s="23"/>
      <c r="DZ49" s="23"/>
      <c r="EA49" s="24"/>
    </row>
    <row r="50" spans="1:131">
      <c r="A50" s="24"/>
      <c r="B50" s="24"/>
      <c r="C50" s="24"/>
      <c r="D50" s="24"/>
      <c r="E50" s="24"/>
      <c r="F50" s="24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4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4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4"/>
      <c r="AW50" s="23"/>
      <c r="AX50" s="23"/>
      <c r="AY50" s="23"/>
      <c r="AZ50" s="23"/>
      <c r="BA50" s="23"/>
      <c r="BB50" s="23"/>
      <c r="BC50" s="23"/>
      <c r="BD50" s="24"/>
      <c r="BE50" s="23"/>
      <c r="BF50" s="23"/>
      <c r="BG50" s="23"/>
      <c r="BH50" s="23"/>
      <c r="BI50" s="23"/>
      <c r="BJ50" s="23"/>
      <c r="BK50" s="23"/>
      <c r="BL50" s="23"/>
      <c r="BM50" s="23"/>
      <c r="BN50" s="24"/>
      <c r="BO50" s="23"/>
      <c r="BP50" s="23"/>
      <c r="BQ50" s="23"/>
      <c r="BR50" s="23"/>
      <c r="BS50" s="24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4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4"/>
      <c r="CS50" s="24"/>
      <c r="CT50" s="24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4"/>
      <c r="DM50" s="23"/>
      <c r="DN50" s="23"/>
      <c r="DO50" s="23"/>
      <c r="DP50" s="23"/>
      <c r="DQ50" s="23"/>
      <c r="DR50" s="24"/>
      <c r="DS50" s="24"/>
      <c r="DT50" s="24"/>
      <c r="DU50" s="23"/>
      <c r="DV50" s="23"/>
      <c r="DW50" s="23"/>
      <c r="DX50" s="23"/>
      <c r="DY50" s="23"/>
      <c r="DZ50" s="23"/>
      <c r="EA50" s="24"/>
    </row>
    <row r="51" spans="1:131">
      <c r="A51" s="24"/>
      <c r="B51" s="24"/>
      <c r="C51" s="24"/>
      <c r="D51" s="24"/>
      <c r="E51" s="24"/>
      <c r="F51" s="24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4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4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4"/>
      <c r="AW51" s="23"/>
      <c r="AX51" s="23"/>
      <c r="AY51" s="23"/>
      <c r="AZ51" s="23"/>
      <c r="BA51" s="23"/>
      <c r="BB51" s="23"/>
      <c r="BC51" s="23"/>
      <c r="BD51" s="24"/>
      <c r="BE51" s="23"/>
      <c r="BF51" s="23"/>
      <c r="BG51" s="23"/>
      <c r="BH51" s="23"/>
      <c r="BI51" s="23"/>
      <c r="BJ51" s="23"/>
      <c r="BK51" s="23"/>
      <c r="BL51" s="23"/>
      <c r="BM51" s="23"/>
      <c r="BN51" s="24"/>
      <c r="BO51" s="23"/>
      <c r="BP51" s="23"/>
      <c r="BQ51" s="23"/>
      <c r="BR51" s="23"/>
      <c r="BS51" s="24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4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4"/>
      <c r="CS51" s="24"/>
      <c r="CT51" s="24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4"/>
      <c r="DM51" s="23"/>
      <c r="DN51" s="23"/>
      <c r="DO51" s="23"/>
      <c r="DP51" s="23"/>
      <c r="DQ51" s="23"/>
      <c r="DR51" s="24"/>
      <c r="DS51" s="24"/>
      <c r="DT51" s="24"/>
      <c r="DU51" s="23"/>
      <c r="DV51" s="23"/>
      <c r="DW51" s="23"/>
      <c r="DX51" s="23"/>
      <c r="DY51" s="23"/>
      <c r="DZ51" s="23"/>
      <c r="EA51" s="24"/>
    </row>
    <row r="52" spans="1:131">
      <c r="A52" s="24"/>
      <c r="B52" s="24"/>
      <c r="C52" s="24"/>
      <c r="D52" s="24"/>
      <c r="E52" s="24"/>
      <c r="F52" s="24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4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4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4"/>
      <c r="AW52" s="23"/>
      <c r="AX52" s="23"/>
      <c r="AY52" s="23"/>
      <c r="AZ52" s="23"/>
      <c r="BA52" s="23"/>
      <c r="BB52" s="23"/>
      <c r="BC52" s="23"/>
      <c r="BD52" s="24"/>
      <c r="BE52" s="23"/>
      <c r="BF52" s="23"/>
      <c r="BG52" s="23"/>
      <c r="BH52" s="23"/>
      <c r="BI52" s="23"/>
      <c r="BJ52" s="23"/>
      <c r="BK52" s="23"/>
      <c r="BL52" s="23"/>
      <c r="BM52" s="23"/>
      <c r="BN52" s="24"/>
      <c r="BO52" s="23"/>
      <c r="BP52" s="23"/>
      <c r="BQ52" s="23"/>
      <c r="BR52" s="23"/>
      <c r="BS52" s="24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4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4"/>
      <c r="CS52" s="24"/>
      <c r="CT52" s="24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4"/>
      <c r="DM52" s="23"/>
      <c r="DN52" s="23"/>
      <c r="DO52" s="23"/>
      <c r="DP52" s="23"/>
      <c r="DQ52" s="23"/>
      <c r="DR52" s="24"/>
      <c r="DS52" s="24"/>
      <c r="DT52" s="24"/>
      <c r="DU52" s="23"/>
      <c r="DV52" s="23"/>
      <c r="DW52" s="23"/>
      <c r="DX52" s="23"/>
      <c r="DY52" s="23"/>
      <c r="DZ52" s="23"/>
      <c r="EA52" s="24"/>
    </row>
    <row r="53" spans="1:131">
      <c r="A53" s="24"/>
      <c r="B53" s="24"/>
      <c r="C53" s="24"/>
      <c r="D53" s="24"/>
      <c r="E53" s="24"/>
      <c r="F53" s="24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4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4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4"/>
      <c r="AW53" s="23"/>
      <c r="AX53" s="23"/>
      <c r="AY53" s="23"/>
      <c r="AZ53" s="23"/>
      <c r="BA53" s="23"/>
      <c r="BB53" s="23"/>
      <c r="BC53" s="23"/>
      <c r="BD53" s="24"/>
      <c r="BE53" s="23"/>
      <c r="BF53" s="23"/>
      <c r="BG53" s="23"/>
      <c r="BH53" s="23"/>
      <c r="BI53" s="23"/>
      <c r="BJ53" s="23"/>
      <c r="BK53" s="23"/>
      <c r="BL53" s="23"/>
      <c r="BM53" s="23"/>
      <c r="BN53" s="24"/>
      <c r="BO53" s="23"/>
      <c r="BP53" s="23"/>
      <c r="BQ53" s="23"/>
      <c r="BR53" s="23"/>
      <c r="BS53" s="24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4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4"/>
      <c r="CS53" s="24"/>
      <c r="CT53" s="24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4"/>
      <c r="DM53" s="23"/>
      <c r="DN53" s="23"/>
      <c r="DO53" s="23"/>
      <c r="DP53" s="23"/>
      <c r="DQ53" s="23"/>
      <c r="DR53" s="24"/>
      <c r="DS53" s="24"/>
      <c r="DT53" s="24"/>
      <c r="DU53" s="23"/>
      <c r="DV53" s="23"/>
      <c r="DW53" s="23"/>
      <c r="DX53" s="23"/>
      <c r="DY53" s="23"/>
      <c r="DZ53" s="23"/>
      <c r="EA53" s="24"/>
    </row>
    <row r="54" spans="1:131">
      <c r="A54" s="24"/>
      <c r="B54" s="24"/>
      <c r="C54" s="24"/>
      <c r="D54" s="24"/>
      <c r="E54" s="24"/>
      <c r="F54" s="24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4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4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4"/>
      <c r="AW54" s="23"/>
      <c r="AX54" s="23"/>
      <c r="AY54" s="23"/>
      <c r="AZ54" s="23"/>
      <c r="BA54" s="23"/>
      <c r="BB54" s="23"/>
      <c r="BC54" s="23"/>
      <c r="BD54" s="24"/>
      <c r="BE54" s="23"/>
      <c r="BF54" s="23"/>
      <c r="BG54" s="23"/>
      <c r="BH54" s="23"/>
      <c r="BI54" s="23"/>
      <c r="BJ54" s="23"/>
      <c r="BK54" s="23"/>
      <c r="BL54" s="23"/>
      <c r="BM54" s="23"/>
      <c r="BN54" s="24"/>
      <c r="BO54" s="23"/>
      <c r="BP54" s="23"/>
      <c r="BQ54" s="23"/>
      <c r="BR54" s="23"/>
      <c r="BS54" s="24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4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4"/>
      <c r="CS54" s="24"/>
      <c r="CT54" s="24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4"/>
      <c r="DM54" s="23"/>
      <c r="DN54" s="23"/>
      <c r="DO54" s="23"/>
      <c r="DP54" s="23"/>
      <c r="DQ54" s="23"/>
      <c r="DR54" s="24"/>
      <c r="DS54" s="24"/>
      <c r="DT54" s="24"/>
      <c r="DU54" s="23"/>
      <c r="DV54" s="23"/>
      <c r="DW54" s="23"/>
      <c r="DX54" s="23"/>
      <c r="DY54" s="23"/>
      <c r="DZ54" s="23"/>
      <c r="EA54" s="24"/>
    </row>
    <row r="55" spans="1:131">
      <c r="A55" s="24"/>
      <c r="B55" s="24"/>
      <c r="C55" s="24"/>
      <c r="D55" s="24"/>
      <c r="E55" s="24"/>
      <c r="F55" s="24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4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4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4"/>
      <c r="AW55" s="23"/>
      <c r="AX55" s="23"/>
      <c r="AY55" s="23"/>
      <c r="AZ55" s="23"/>
      <c r="BA55" s="23"/>
      <c r="BB55" s="23"/>
      <c r="BC55" s="23"/>
      <c r="BD55" s="24"/>
      <c r="BE55" s="23"/>
      <c r="BF55" s="23"/>
      <c r="BG55" s="23"/>
      <c r="BH55" s="23"/>
      <c r="BI55" s="23"/>
      <c r="BJ55" s="23"/>
      <c r="BK55" s="23"/>
      <c r="BL55" s="23"/>
      <c r="BM55" s="23"/>
      <c r="BN55" s="24"/>
      <c r="BO55" s="23"/>
      <c r="BP55" s="23"/>
      <c r="BQ55" s="23"/>
      <c r="BR55" s="23"/>
      <c r="BS55" s="24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4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4"/>
      <c r="CS55" s="24"/>
      <c r="CT55" s="24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4"/>
      <c r="DM55" s="23"/>
      <c r="DN55" s="23"/>
      <c r="DO55" s="23"/>
      <c r="DP55" s="23"/>
      <c r="DQ55" s="23"/>
      <c r="DR55" s="24"/>
      <c r="DS55" s="24"/>
      <c r="DT55" s="24"/>
      <c r="DU55" s="23"/>
      <c r="DV55" s="23"/>
      <c r="DW55" s="23"/>
      <c r="DX55" s="23"/>
      <c r="DY55" s="23"/>
      <c r="DZ55" s="23"/>
      <c r="EA55" s="24"/>
    </row>
    <row r="56" spans="1:131">
      <c r="A56" s="24"/>
      <c r="B56" s="24"/>
      <c r="C56" s="24"/>
      <c r="D56" s="24"/>
      <c r="E56" s="24"/>
      <c r="F56" s="24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4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4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4"/>
      <c r="AW56" s="23"/>
      <c r="AX56" s="23"/>
      <c r="AY56" s="23"/>
      <c r="AZ56" s="23"/>
      <c r="BA56" s="23"/>
      <c r="BB56" s="23"/>
      <c r="BC56" s="23"/>
      <c r="BD56" s="24"/>
      <c r="BE56" s="23"/>
      <c r="BF56" s="23"/>
      <c r="BG56" s="23"/>
      <c r="BH56" s="23"/>
      <c r="BI56" s="23"/>
      <c r="BJ56" s="23"/>
      <c r="BK56" s="23"/>
      <c r="BL56" s="23"/>
      <c r="BM56" s="23"/>
      <c r="BN56" s="24"/>
      <c r="BO56" s="23"/>
      <c r="BP56" s="23"/>
      <c r="BQ56" s="23"/>
      <c r="BR56" s="23"/>
      <c r="BS56" s="24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4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4"/>
      <c r="CS56" s="24"/>
      <c r="CT56" s="24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4"/>
      <c r="DM56" s="23"/>
      <c r="DN56" s="23"/>
      <c r="DO56" s="23"/>
      <c r="DP56" s="23"/>
      <c r="DQ56" s="23"/>
      <c r="DR56" s="24"/>
      <c r="DS56" s="24"/>
      <c r="DT56" s="24"/>
      <c r="DU56" s="23"/>
      <c r="DV56" s="23"/>
      <c r="DW56" s="23"/>
      <c r="DX56" s="23"/>
      <c r="DY56" s="23"/>
      <c r="DZ56" s="23"/>
      <c r="EA56" s="24"/>
    </row>
    <row r="57" spans="1:131">
      <c r="A57" s="24"/>
      <c r="B57" s="24"/>
      <c r="C57" s="24"/>
      <c r="D57" s="24"/>
      <c r="E57" s="24"/>
      <c r="F57" s="24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4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4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4"/>
      <c r="AW57" s="23"/>
      <c r="AX57" s="23"/>
      <c r="AY57" s="23"/>
      <c r="AZ57" s="23"/>
      <c r="BA57" s="23"/>
      <c r="BB57" s="23"/>
      <c r="BC57" s="23"/>
      <c r="BD57" s="24"/>
      <c r="BE57" s="23"/>
      <c r="BF57" s="23"/>
      <c r="BG57" s="23"/>
      <c r="BH57" s="23"/>
      <c r="BI57" s="23"/>
      <c r="BJ57" s="23"/>
      <c r="BK57" s="23"/>
      <c r="BL57" s="23"/>
      <c r="BM57" s="23"/>
      <c r="BN57" s="24"/>
      <c r="BO57" s="23"/>
      <c r="BP57" s="23"/>
      <c r="BQ57" s="23"/>
      <c r="BR57" s="23"/>
      <c r="BS57" s="24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4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4"/>
      <c r="CS57" s="24"/>
      <c r="CT57" s="24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4"/>
      <c r="DM57" s="23"/>
      <c r="DN57" s="23"/>
      <c r="DO57" s="23"/>
      <c r="DP57" s="23"/>
      <c r="DQ57" s="23"/>
      <c r="DR57" s="24"/>
      <c r="DS57" s="24"/>
      <c r="DT57" s="24"/>
      <c r="DU57" s="23"/>
      <c r="DV57" s="23"/>
      <c r="DW57" s="23"/>
      <c r="DX57" s="23"/>
      <c r="DY57" s="23"/>
      <c r="DZ57" s="23"/>
      <c r="EA57" s="24"/>
    </row>
    <row r="58" spans="1:131">
      <c r="A58" s="24"/>
      <c r="B58" s="24"/>
      <c r="C58" s="24"/>
      <c r="D58" s="24"/>
      <c r="E58" s="24"/>
      <c r="F58" s="24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4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4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4"/>
      <c r="AW58" s="23"/>
      <c r="AX58" s="23"/>
      <c r="AY58" s="23"/>
      <c r="AZ58" s="23"/>
      <c r="BA58" s="23"/>
      <c r="BB58" s="23"/>
      <c r="BC58" s="23"/>
      <c r="BD58" s="24"/>
      <c r="BE58" s="23"/>
      <c r="BF58" s="23"/>
      <c r="BG58" s="23"/>
      <c r="BH58" s="23"/>
      <c r="BI58" s="23"/>
      <c r="BJ58" s="23"/>
      <c r="BK58" s="23"/>
      <c r="BL58" s="23"/>
      <c r="BM58" s="23"/>
      <c r="BN58" s="24"/>
      <c r="BO58" s="23"/>
      <c r="BP58" s="23"/>
      <c r="BQ58" s="23"/>
      <c r="BR58" s="23"/>
      <c r="BS58" s="24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4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4"/>
      <c r="CS58" s="24"/>
      <c r="CT58" s="24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4"/>
      <c r="DM58" s="23"/>
      <c r="DN58" s="23"/>
      <c r="DO58" s="23"/>
      <c r="DP58" s="23"/>
      <c r="DQ58" s="23"/>
      <c r="DR58" s="24"/>
      <c r="DS58" s="24"/>
      <c r="DT58" s="24"/>
      <c r="DU58" s="23"/>
      <c r="DV58" s="23"/>
      <c r="DW58" s="23"/>
      <c r="DX58" s="23"/>
      <c r="DY58" s="23"/>
      <c r="DZ58" s="23"/>
      <c r="EA58" s="24"/>
    </row>
    <row r="59" spans="1:131">
      <c r="A59" s="24"/>
      <c r="B59" s="24"/>
      <c r="C59" s="24"/>
      <c r="D59" s="24"/>
      <c r="E59" s="24"/>
      <c r="F59" s="24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4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4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4"/>
      <c r="AW59" s="23"/>
      <c r="AX59" s="23"/>
      <c r="AY59" s="23"/>
      <c r="AZ59" s="23"/>
      <c r="BA59" s="23"/>
      <c r="BB59" s="23"/>
      <c r="BC59" s="23"/>
      <c r="BD59" s="24"/>
      <c r="BE59" s="23"/>
      <c r="BF59" s="23"/>
      <c r="BG59" s="23"/>
      <c r="BH59" s="23"/>
      <c r="BI59" s="23"/>
      <c r="BJ59" s="23"/>
      <c r="BK59" s="23"/>
      <c r="BL59" s="23"/>
      <c r="BM59" s="23"/>
      <c r="BN59" s="24"/>
      <c r="BO59" s="23"/>
      <c r="BP59" s="23"/>
      <c r="BQ59" s="23"/>
      <c r="BR59" s="23"/>
      <c r="BS59" s="24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4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4"/>
      <c r="CS59" s="24"/>
      <c r="CT59" s="24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4"/>
      <c r="DM59" s="23"/>
      <c r="DN59" s="23"/>
      <c r="DO59" s="23"/>
      <c r="DP59" s="23"/>
      <c r="DQ59" s="23"/>
      <c r="DR59" s="24"/>
      <c r="DS59" s="24"/>
      <c r="DT59" s="24"/>
      <c r="DU59" s="23"/>
      <c r="DV59" s="23"/>
      <c r="DW59" s="23"/>
      <c r="DX59" s="23"/>
      <c r="DY59" s="23"/>
      <c r="DZ59" s="23"/>
      <c r="EA59" s="24"/>
    </row>
    <row r="60" spans="1:131">
      <c r="A60" s="24"/>
      <c r="B60" s="24"/>
      <c r="C60" s="24"/>
      <c r="D60" s="24"/>
      <c r="E60" s="24"/>
      <c r="F60" s="24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4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4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4"/>
      <c r="AW60" s="23"/>
      <c r="AX60" s="23"/>
      <c r="AY60" s="23"/>
      <c r="AZ60" s="23"/>
      <c r="BA60" s="23"/>
      <c r="BB60" s="23"/>
      <c r="BC60" s="23"/>
      <c r="BD60" s="24"/>
      <c r="BE60" s="23"/>
      <c r="BF60" s="23"/>
      <c r="BG60" s="23"/>
      <c r="BH60" s="23"/>
      <c r="BI60" s="23"/>
      <c r="BJ60" s="23"/>
      <c r="BK60" s="23"/>
      <c r="BL60" s="23"/>
      <c r="BM60" s="23"/>
      <c r="BN60" s="24"/>
      <c r="BO60" s="23"/>
      <c r="BP60" s="23"/>
      <c r="BQ60" s="23"/>
      <c r="BR60" s="23"/>
      <c r="BS60" s="24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4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4"/>
      <c r="CS60" s="24"/>
      <c r="CT60" s="24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4"/>
      <c r="DM60" s="23"/>
      <c r="DN60" s="23"/>
      <c r="DO60" s="23"/>
      <c r="DP60" s="23"/>
      <c r="DQ60" s="23"/>
      <c r="DR60" s="24"/>
      <c r="DS60" s="24"/>
      <c r="DT60" s="24"/>
      <c r="DU60" s="23"/>
      <c r="DV60" s="23"/>
      <c r="DW60" s="23"/>
      <c r="DX60" s="23"/>
      <c r="DY60" s="23"/>
      <c r="DZ60" s="23"/>
      <c r="EA60" s="24"/>
    </row>
    <row r="61" spans="1:131">
      <c r="A61" s="24"/>
      <c r="B61" s="24"/>
      <c r="C61" s="24"/>
      <c r="D61" s="24"/>
      <c r="E61" s="24"/>
      <c r="F61" s="24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4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4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4"/>
      <c r="AW61" s="23"/>
      <c r="AX61" s="23"/>
      <c r="AY61" s="23"/>
      <c r="AZ61" s="23"/>
      <c r="BA61" s="23"/>
      <c r="BB61" s="23"/>
      <c r="BC61" s="23"/>
      <c r="BD61" s="24"/>
      <c r="BE61" s="23"/>
      <c r="BF61" s="23"/>
      <c r="BG61" s="23"/>
      <c r="BH61" s="23"/>
      <c r="BI61" s="23"/>
      <c r="BJ61" s="23"/>
      <c r="BK61" s="23"/>
      <c r="BL61" s="23"/>
      <c r="BM61" s="23"/>
      <c r="BN61" s="24"/>
      <c r="BO61" s="23"/>
      <c r="BP61" s="23"/>
      <c r="BQ61" s="23"/>
      <c r="BR61" s="23"/>
      <c r="BS61" s="24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4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4"/>
      <c r="CS61" s="24"/>
      <c r="CT61" s="24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4"/>
      <c r="DM61" s="23"/>
      <c r="DN61" s="23"/>
      <c r="DO61" s="23"/>
      <c r="DP61" s="23"/>
      <c r="DQ61" s="23"/>
      <c r="DR61" s="24"/>
      <c r="DS61" s="24"/>
      <c r="DT61" s="24"/>
      <c r="DU61" s="23"/>
      <c r="DV61" s="23"/>
      <c r="DW61" s="23"/>
      <c r="DX61" s="23"/>
      <c r="DY61" s="23"/>
      <c r="DZ61" s="23"/>
      <c r="EA61" s="24"/>
    </row>
    <row r="62" spans="1:131">
      <c r="A62" s="24"/>
      <c r="B62" s="24"/>
      <c r="C62" s="24"/>
      <c r="D62" s="24"/>
      <c r="E62" s="24"/>
      <c r="F62" s="24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4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4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4"/>
      <c r="AW62" s="23"/>
      <c r="AX62" s="23"/>
      <c r="AY62" s="23"/>
      <c r="AZ62" s="23"/>
      <c r="BA62" s="23"/>
      <c r="BB62" s="23"/>
      <c r="BC62" s="23"/>
      <c r="BD62" s="24"/>
      <c r="BE62" s="23"/>
      <c r="BF62" s="23"/>
      <c r="BG62" s="23"/>
      <c r="BH62" s="23"/>
      <c r="BI62" s="23"/>
      <c r="BJ62" s="23"/>
      <c r="BK62" s="23"/>
      <c r="BL62" s="23"/>
      <c r="BM62" s="23"/>
      <c r="BN62" s="24"/>
      <c r="BO62" s="23"/>
      <c r="BP62" s="23"/>
      <c r="BQ62" s="23"/>
      <c r="BR62" s="23"/>
      <c r="BS62" s="24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4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4"/>
      <c r="CS62" s="24"/>
      <c r="CT62" s="24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4"/>
      <c r="DM62" s="23"/>
      <c r="DN62" s="23"/>
      <c r="DO62" s="23"/>
      <c r="DP62" s="23"/>
      <c r="DQ62" s="23"/>
      <c r="DR62" s="24"/>
      <c r="DS62" s="24"/>
      <c r="DT62" s="24"/>
      <c r="DU62" s="23"/>
      <c r="DV62" s="23"/>
      <c r="DW62" s="23"/>
      <c r="DX62" s="23"/>
      <c r="DY62" s="23"/>
      <c r="DZ62" s="23"/>
      <c r="EA62" s="24"/>
    </row>
    <row r="63" spans="1:131">
      <c r="A63" s="24"/>
      <c r="B63" s="24"/>
      <c r="C63" s="24"/>
      <c r="D63" s="24"/>
      <c r="E63" s="24"/>
      <c r="F63" s="24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4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4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4"/>
      <c r="AW63" s="23"/>
      <c r="AX63" s="23"/>
      <c r="AY63" s="23"/>
      <c r="AZ63" s="23"/>
      <c r="BA63" s="23"/>
      <c r="BB63" s="23"/>
      <c r="BC63" s="23"/>
      <c r="BD63" s="24"/>
      <c r="BE63" s="23"/>
      <c r="BF63" s="23"/>
      <c r="BG63" s="23"/>
      <c r="BH63" s="23"/>
      <c r="BI63" s="23"/>
      <c r="BJ63" s="23"/>
      <c r="BK63" s="23"/>
      <c r="BL63" s="23"/>
      <c r="BM63" s="23"/>
      <c r="BN63" s="24"/>
      <c r="BO63" s="23"/>
      <c r="BP63" s="23"/>
      <c r="BQ63" s="23"/>
      <c r="BR63" s="23"/>
      <c r="BS63" s="24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4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4"/>
      <c r="CS63" s="24"/>
      <c r="CT63" s="24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4"/>
      <c r="DM63" s="23"/>
      <c r="DN63" s="23"/>
      <c r="DO63" s="23"/>
      <c r="DP63" s="23"/>
      <c r="DQ63" s="23"/>
      <c r="DR63" s="24"/>
      <c r="DS63" s="24"/>
      <c r="DT63" s="24"/>
      <c r="DU63" s="23"/>
      <c r="DV63" s="23"/>
      <c r="DW63" s="23"/>
      <c r="DX63" s="23"/>
      <c r="DY63" s="23"/>
      <c r="DZ63" s="23"/>
      <c r="EA63" s="24"/>
    </row>
    <row r="64" spans="1:131">
      <c r="A64" s="24"/>
      <c r="B64" s="24"/>
      <c r="C64" s="24"/>
      <c r="D64" s="24"/>
      <c r="E64" s="24"/>
      <c r="F64" s="24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4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4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4"/>
      <c r="AW64" s="23"/>
      <c r="AX64" s="23"/>
      <c r="AY64" s="23"/>
      <c r="AZ64" s="23"/>
      <c r="BA64" s="23"/>
      <c r="BB64" s="23"/>
      <c r="BC64" s="23"/>
      <c r="BD64" s="24"/>
      <c r="BE64" s="23"/>
      <c r="BF64" s="23"/>
      <c r="BG64" s="23"/>
      <c r="BH64" s="23"/>
      <c r="BI64" s="23"/>
      <c r="BJ64" s="23"/>
      <c r="BK64" s="23"/>
      <c r="BL64" s="23"/>
      <c r="BM64" s="23"/>
      <c r="BN64" s="24"/>
      <c r="BO64" s="23"/>
      <c r="BP64" s="23"/>
      <c r="BQ64" s="23"/>
      <c r="BR64" s="23"/>
      <c r="BS64" s="24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4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4"/>
      <c r="CS64" s="24"/>
      <c r="CT64" s="24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4"/>
      <c r="DM64" s="23"/>
      <c r="DN64" s="23"/>
      <c r="DO64" s="23"/>
      <c r="DP64" s="23"/>
      <c r="DQ64" s="23"/>
      <c r="DR64" s="24"/>
      <c r="DS64" s="24"/>
      <c r="DT64" s="24"/>
      <c r="DU64" s="23"/>
      <c r="DV64" s="23"/>
      <c r="DW64" s="23"/>
      <c r="DX64" s="23"/>
      <c r="DY64" s="23"/>
      <c r="DZ64" s="23"/>
      <c r="EA64" s="24"/>
    </row>
    <row r="65" spans="1:131">
      <c r="A65" s="24"/>
      <c r="B65" s="24"/>
      <c r="C65" s="24"/>
      <c r="D65" s="24"/>
      <c r="E65" s="24"/>
      <c r="F65" s="24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4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4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4"/>
      <c r="AW65" s="23"/>
      <c r="AX65" s="23"/>
      <c r="AY65" s="23"/>
      <c r="AZ65" s="23"/>
      <c r="BA65" s="23"/>
      <c r="BB65" s="23"/>
      <c r="BC65" s="23"/>
      <c r="BD65" s="24"/>
      <c r="BE65" s="23"/>
      <c r="BF65" s="23"/>
      <c r="BG65" s="23"/>
      <c r="BH65" s="23"/>
      <c r="BI65" s="23"/>
      <c r="BJ65" s="23"/>
      <c r="BK65" s="23"/>
      <c r="BL65" s="23"/>
      <c r="BM65" s="23"/>
      <c r="BN65" s="24"/>
      <c r="BO65" s="23"/>
      <c r="BP65" s="23"/>
      <c r="BQ65" s="23"/>
      <c r="BR65" s="23"/>
      <c r="BS65" s="24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4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4"/>
      <c r="CS65" s="24"/>
      <c r="CT65" s="24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4"/>
      <c r="DM65" s="23"/>
      <c r="DN65" s="23"/>
      <c r="DO65" s="23"/>
      <c r="DP65" s="23"/>
      <c r="DQ65" s="23"/>
      <c r="DR65" s="24"/>
      <c r="DS65" s="24"/>
      <c r="DT65" s="24"/>
      <c r="DU65" s="23"/>
      <c r="DV65" s="23"/>
      <c r="DW65" s="23"/>
      <c r="DX65" s="23"/>
      <c r="DY65" s="23"/>
      <c r="DZ65" s="23"/>
      <c r="EA65" s="24"/>
    </row>
    <row r="66" spans="1:131">
      <c r="A66" s="24"/>
      <c r="B66" s="24"/>
      <c r="C66" s="24"/>
      <c r="D66" s="24"/>
      <c r="E66" s="24"/>
      <c r="F66" s="24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4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4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4"/>
      <c r="AW66" s="23"/>
      <c r="AX66" s="23"/>
      <c r="AY66" s="23"/>
      <c r="AZ66" s="23"/>
      <c r="BA66" s="23"/>
      <c r="BB66" s="23"/>
      <c r="BC66" s="23"/>
      <c r="BD66" s="24"/>
      <c r="BE66" s="23"/>
      <c r="BF66" s="23"/>
      <c r="BG66" s="23"/>
      <c r="BH66" s="23"/>
      <c r="BI66" s="23"/>
      <c r="BJ66" s="23"/>
      <c r="BK66" s="23"/>
      <c r="BL66" s="23"/>
      <c r="BM66" s="23"/>
      <c r="BN66" s="24"/>
      <c r="BO66" s="23"/>
      <c r="BP66" s="23"/>
      <c r="BQ66" s="23"/>
      <c r="BR66" s="23"/>
      <c r="BS66" s="24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4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4"/>
      <c r="CS66" s="24"/>
      <c r="CT66" s="24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4"/>
      <c r="DM66" s="23"/>
      <c r="DN66" s="23"/>
      <c r="DO66" s="23"/>
      <c r="DP66" s="23"/>
      <c r="DQ66" s="23"/>
      <c r="DR66" s="24"/>
      <c r="DS66" s="24"/>
      <c r="DT66" s="24"/>
      <c r="DU66" s="23"/>
      <c r="DV66" s="23"/>
      <c r="DW66" s="23"/>
      <c r="DX66" s="23"/>
      <c r="DY66" s="23"/>
      <c r="DZ66" s="23"/>
      <c r="EA66" s="24"/>
    </row>
    <row r="67" spans="1:131">
      <c r="A67" s="24"/>
      <c r="B67" s="24"/>
      <c r="C67" s="24"/>
      <c r="D67" s="24"/>
      <c r="E67" s="24"/>
      <c r="F67" s="24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4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4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4"/>
      <c r="AW67" s="23"/>
      <c r="AX67" s="23"/>
      <c r="AY67" s="23"/>
      <c r="AZ67" s="23"/>
      <c r="BA67" s="23"/>
      <c r="BB67" s="23"/>
      <c r="BC67" s="23"/>
      <c r="BD67" s="24"/>
      <c r="BE67" s="23"/>
      <c r="BF67" s="23"/>
      <c r="BG67" s="23"/>
      <c r="BH67" s="23"/>
      <c r="BI67" s="23"/>
      <c r="BJ67" s="23"/>
      <c r="BK67" s="23"/>
      <c r="BL67" s="23"/>
      <c r="BM67" s="23"/>
      <c r="BN67" s="24"/>
      <c r="BO67" s="23"/>
      <c r="BP67" s="23"/>
      <c r="BQ67" s="23"/>
      <c r="BR67" s="23"/>
      <c r="BS67" s="24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4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4"/>
      <c r="CS67" s="24"/>
      <c r="CT67" s="24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4"/>
      <c r="DM67" s="23"/>
      <c r="DN67" s="23"/>
      <c r="DO67" s="23"/>
      <c r="DP67" s="23"/>
      <c r="DQ67" s="23"/>
      <c r="DR67" s="24"/>
      <c r="DS67" s="24"/>
      <c r="DT67" s="24"/>
      <c r="DU67" s="23"/>
      <c r="DV67" s="23"/>
      <c r="DW67" s="23"/>
      <c r="DX67" s="23"/>
      <c r="DY67" s="23"/>
      <c r="DZ67" s="23"/>
      <c r="EA67" s="24"/>
    </row>
    <row r="68" spans="1:131">
      <c r="A68" s="24"/>
      <c r="B68" s="24"/>
      <c r="C68" s="24"/>
      <c r="D68" s="24"/>
      <c r="E68" s="24"/>
      <c r="F68" s="24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4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4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4"/>
      <c r="AW68" s="23"/>
      <c r="AX68" s="23"/>
      <c r="AY68" s="23"/>
      <c r="AZ68" s="23"/>
      <c r="BA68" s="23"/>
      <c r="BB68" s="23"/>
      <c r="BC68" s="23"/>
      <c r="BD68" s="24"/>
      <c r="BE68" s="23"/>
      <c r="BF68" s="23"/>
      <c r="BG68" s="23"/>
      <c r="BH68" s="23"/>
      <c r="BI68" s="23"/>
      <c r="BJ68" s="23"/>
      <c r="BK68" s="23"/>
      <c r="BL68" s="23"/>
      <c r="BM68" s="23"/>
      <c r="BN68" s="24"/>
      <c r="BO68" s="23"/>
      <c r="BP68" s="23"/>
      <c r="BQ68" s="23"/>
      <c r="BR68" s="23"/>
      <c r="BS68" s="24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4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4"/>
      <c r="CS68" s="24"/>
      <c r="CT68" s="24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4"/>
      <c r="DM68" s="23"/>
      <c r="DN68" s="23"/>
      <c r="DO68" s="23"/>
      <c r="DP68" s="23"/>
      <c r="DQ68" s="23"/>
      <c r="DR68" s="24"/>
      <c r="DS68" s="24"/>
      <c r="DT68" s="24"/>
      <c r="DU68" s="23"/>
      <c r="DV68" s="23"/>
      <c r="DW68" s="23"/>
      <c r="DX68" s="23"/>
      <c r="DY68" s="23"/>
      <c r="DZ68" s="23"/>
      <c r="EA68" s="24"/>
    </row>
    <row r="69" spans="1:131">
      <c r="A69" s="24"/>
      <c r="B69" s="24"/>
      <c r="C69" s="24"/>
      <c r="D69" s="24"/>
      <c r="E69" s="24"/>
      <c r="F69" s="24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4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4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4"/>
      <c r="AW69" s="23"/>
      <c r="AX69" s="23"/>
      <c r="AY69" s="23"/>
      <c r="AZ69" s="23"/>
      <c r="BA69" s="23"/>
      <c r="BB69" s="23"/>
      <c r="BC69" s="23"/>
      <c r="BD69" s="24"/>
      <c r="BE69" s="23"/>
      <c r="BF69" s="23"/>
      <c r="BG69" s="23"/>
      <c r="BH69" s="23"/>
      <c r="BI69" s="23"/>
      <c r="BJ69" s="23"/>
      <c r="BK69" s="23"/>
      <c r="BL69" s="23"/>
      <c r="BM69" s="23"/>
      <c r="BN69" s="24"/>
      <c r="BO69" s="23"/>
      <c r="BP69" s="23"/>
      <c r="BQ69" s="23"/>
      <c r="BR69" s="23"/>
      <c r="BS69" s="24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4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4"/>
      <c r="CS69" s="24"/>
      <c r="CT69" s="24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4"/>
      <c r="DM69" s="23"/>
      <c r="DN69" s="23"/>
      <c r="DO69" s="23"/>
      <c r="DP69" s="23"/>
      <c r="DQ69" s="23"/>
      <c r="DR69" s="24"/>
      <c r="DS69" s="24"/>
      <c r="DT69" s="24"/>
      <c r="DU69" s="23"/>
      <c r="DV69" s="23"/>
      <c r="DW69" s="23"/>
      <c r="DX69" s="23"/>
      <c r="DY69" s="23"/>
      <c r="DZ69" s="23"/>
      <c r="EA69" s="24"/>
    </row>
    <row r="70" spans="1:131">
      <c r="A70" s="24"/>
      <c r="B70" s="24"/>
      <c r="C70" s="24"/>
      <c r="D70" s="24"/>
      <c r="E70" s="24"/>
      <c r="F70" s="24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4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4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4"/>
      <c r="AW70" s="23"/>
      <c r="AX70" s="23"/>
      <c r="AY70" s="23"/>
      <c r="AZ70" s="23"/>
      <c r="BA70" s="23"/>
      <c r="BB70" s="23"/>
      <c r="BC70" s="23"/>
      <c r="BD70" s="24"/>
      <c r="BE70" s="23"/>
      <c r="BF70" s="23"/>
      <c r="BG70" s="23"/>
      <c r="BH70" s="23"/>
      <c r="BI70" s="23"/>
      <c r="BJ70" s="23"/>
      <c r="BK70" s="23"/>
      <c r="BL70" s="23"/>
      <c r="BM70" s="23"/>
      <c r="BN70" s="24"/>
      <c r="BO70" s="23"/>
      <c r="BP70" s="23"/>
      <c r="BQ70" s="23"/>
      <c r="BR70" s="23"/>
      <c r="BS70" s="24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4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4"/>
      <c r="CS70" s="24"/>
      <c r="CT70" s="24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4"/>
      <c r="DM70" s="23"/>
      <c r="DN70" s="23"/>
      <c r="DO70" s="23"/>
      <c r="DP70" s="23"/>
      <c r="DQ70" s="23"/>
      <c r="DR70" s="24"/>
      <c r="DS70" s="24"/>
      <c r="DT70" s="24"/>
      <c r="DU70" s="23"/>
      <c r="DV70" s="23"/>
      <c r="DW70" s="23"/>
      <c r="DX70" s="23"/>
      <c r="DY70" s="23"/>
      <c r="DZ70" s="23"/>
      <c r="EA70" s="24"/>
    </row>
    <row r="71" spans="1:131">
      <c r="A71" s="24"/>
      <c r="B71" s="24"/>
      <c r="C71" s="24"/>
      <c r="D71" s="24"/>
      <c r="E71" s="24"/>
      <c r="F71" s="24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4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4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4"/>
      <c r="AW71" s="23"/>
      <c r="AX71" s="23"/>
      <c r="AY71" s="23"/>
      <c r="AZ71" s="23"/>
      <c r="BA71" s="23"/>
      <c r="BB71" s="23"/>
      <c r="BC71" s="23"/>
      <c r="BD71" s="24"/>
      <c r="BE71" s="23"/>
      <c r="BF71" s="23"/>
      <c r="BG71" s="23"/>
      <c r="BH71" s="23"/>
      <c r="BI71" s="23"/>
      <c r="BJ71" s="23"/>
      <c r="BK71" s="23"/>
      <c r="BL71" s="23"/>
      <c r="BM71" s="23"/>
      <c r="BN71" s="24"/>
      <c r="BO71" s="23"/>
      <c r="BP71" s="23"/>
      <c r="BQ71" s="23"/>
      <c r="BR71" s="23"/>
      <c r="BS71" s="24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4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4"/>
      <c r="CS71" s="24"/>
      <c r="CT71" s="24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4"/>
      <c r="DM71" s="23"/>
      <c r="DN71" s="23"/>
      <c r="DO71" s="23"/>
      <c r="DP71" s="23"/>
      <c r="DQ71" s="23"/>
      <c r="DR71" s="24"/>
      <c r="DS71" s="24"/>
      <c r="DT71" s="24"/>
      <c r="DU71" s="23"/>
      <c r="DV71" s="23"/>
      <c r="DW71" s="23"/>
      <c r="DX71" s="23"/>
      <c r="DY71" s="23"/>
      <c r="DZ71" s="23"/>
      <c r="EA71" s="24"/>
    </row>
    <row r="72" spans="1:131">
      <c r="A72" s="24"/>
      <c r="B72" s="24"/>
      <c r="C72" s="24"/>
      <c r="D72" s="24"/>
      <c r="E72" s="24"/>
      <c r="F72" s="24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4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4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4"/>
      <c r="AW72" s="23"/>
      <c r="AX72" s="23"/>
      <c r="AY72" s="23"/>
      <c r="AZ72" s="23"/>
      <c r="BA72" s="23"/>
      <c r="BB72" s="23"/>
      <c r="BC72" s="23"/>
      <c r="BD72" s="24"/>
      <c r="BE72" s="23"/>
      <c r="BF72" s="23"/>
      <c r="BG72" s="23"/>
      <c r="BH72" s="23"/>
      <c r="BI72" s="23"/>
      <c r="BJ72" s="23"/>
      <c r="BK72" s="23"/>
      <c r="BL72" s="23"/>
      <c r="BM72" s="23"/>
      <c r="BN72" s="24"/>
      <c r="BO72" s="23"/>
      <c r="BP72" s="23"/>
      <c r="BQ72" s="23"/>
      <c r="BR72" s="23"/>
      <c r="BS72" s="24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4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4"/>
      <c r="CS72" s="24"/>
      <c r="CT72" s="24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4"/>
      <c r="DM72" s="23"/>
      <c r="DN72" s="23"/>
      <c r="DO72" s="23"/>
      <c r="DP72" s="23"/>
      <c r="DQ72" s="23"/>
      <c r="DR72" s="24"/>
      <c r="DS72" s="24"/>
      <c r="DT72" s="24"/>
      <c r="DU72" s="23"/>
      <c r="DV72" s="23"/>
      <c r="DW72" s="23"/>
      <c r="DX72" s="23"/>
      <c r="DY72" s="23"/>
      <c r="DZ72" s="23"/>
      <c r="EA72" s="24"/>
    </row>
    <row r="73" spans="1:131">
      <c r="A73" s="24"/>
      <c r="B73" s="24"/>
      <c r="C73" s="24"/>
      <c r="D73" s="24"/>
      <c r="E73" s="24"/>
      <c r="F73" s="24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4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4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4"/>
      <c r="AW73" s="23"/>
      <c r="AX73" s="23"/>
      <c r="AY73" s="23"/>
      <c r="AZ73" s="23"/>
      <c r="BA73" s="23"/>
      <c r="BB73" s="23"/>
      <c r="BC73" s="23"/>
      <c r="BD73" s="24"/>
      <c r="BE73" s="23"/>
      <c r="BF73" s="23"/>
      <c r="BG73" s="23"/>
      <c r="BH73" s="23"/>
      <c r="BI73" s="23"/>
      <c r="BJ73" s="23"/>
      <c r="BK73" s="23"/>
      <c r="BL73" s="23"/>
      <c r="BM73" s="23"/>
      <c r="BN73" s="24"/>
      <c r="BO73" s="23"/>
      <c r="BP73" s="23"/>
      <c r="BQ73" s="23"/>
      <c r="BR73" s="23"/>
      <c r="BS73" s="24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4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4"/>
      <c r="CS73" s="24"/>
      <c r="CT73" s="24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4"/>
      <c r="DM73" s="23"/>
      <c r="DN73" s="23"/>
      <c r="DO73" s="23"/>
      <c r="DP73" s="23"/>
      <c r="DQ73" s="23"/>
      <c r="DR73" s="24"/>
      <c r="DS73" s="24"/>
      <c r="DT73" s="24"/>
      <c r="DU73" s="23"/>
      <c r="DV73" s="23"/>
      <c r="DW73" s="23"/>
      <c r="DX73" s="23"/>
      <c r="DY73" s="23"/>
      <c r="DZ73" s="23"/>
      <c r="EA73" s="24"/>
    </row>
    <row r="74" spans="1:131">
      <c r="A74" s="24"/>
      <c r="B74" s="24"/>
      <c r="C74" s="24"/>
      <c r="D74" s="24"/>
      <c r="E74" s="24"/>
      <c r="F74" s="24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4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4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4"/>
      <c r="AW74" s="23"/>
      <c r="AX74" s="23"/>
      <c r="AY74" s="23"/>
      <c r="AZ74" s="23"/>
      <c r="BA74" s="23"/>
      <c r="BB74" s="23"/>
      <c r="BC74" s="23"/>
      <c r="BD74" s="24"/>
      <c r="BE74" s="23"/>
      <c r="BF74" s="23"/>
      <c r="BG74" s="23"/>
      <c r="BH74" s="23"/>
      <c r="BI74" s="23"/>
      <c r="BJ74" s="23"/>
      <c r="BK74" s="23"/>
      <c r="BL74" s="23"/>
      <c r="BM74" s="23"/>
      <c r="BN74" s="24"/>
      <c r="BO74" s="23"/>
      <c r="BP74" s="23"/>
      <c r="BQ74" s="23"/>
      <c r="BR74" s="23"/>
      <c r="BS74" s="24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4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4"/>
      <c r="CS74" s="24"/>
      <c r="CT74" s="24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4"/>
      <c r="DM74" s="23"/>
      <c r="DN74" s="23"/>
      <c r="DO74" s="23"/>
      <c r="DP74" s="23"/>
      <c r="DQ74" s="23"/>
      <c r="DR74" s="24"/>
      <c r="DS74" s="24"/>
      <c r="DT74" s="24"/>
      <c r="DU74" s="23"/>
      <c r="DV74" s="23"/>
      <c r="DW74" s="23"/>
      <c r="DX74" s="23"/>
      <c r="DY74" s="23"/>
      <c r="DZ74" s="23"/>
      <c r="EA74" s="24"/>
    </row>
    <row r="75" spans="1:131">
      <c r="A75" s="24"/>
      <c r="B75" s="24"/>
      <c r="C75" s="24"/>
      <c r="D75" s="24"/>
      <c r="E75" s="24"/>
      <c r="F75" s="24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4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4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4"/>
      <c r="AW75" s="23"/>
      <c r="AX75" s="23"/>
      <c r="AY75" s="23"/>
      <c r="AZ75" s="23"/>
      <c r="BA75" s="23"/>
      <c r="BB75" s="23"/>
      <c r="BC75" s="23"/>
      <c r="BD75" s="24"/>
      <c r="BE75" s="23"/>
      <c r="BF75" s="23"/>
      <c r="BG75" s="23"/>
      <c r="BH75" s="23"/>
      <c r="BI75" s="23"/>
      <c r="BJ75" s="23"/>
      <c r="BK75" s="23"/>
      <c r="BL75" s="23"/>
      <c r="BM75" s="23"/>
      <c r="BN75" s="24"/>
      <c r="BO75" s="23"/>
      <c r="BP75" s="23"/>
      <c r="BQ75" s="23"/>
      <c r="BR75" s="23"/>
      <c r="BS75" s="24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4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4"/>
      <c r="CS75" s="24"/>
      <c r="CT75" s="24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4"/>
      <c r="DM75" s="23"/>
      <c r="DN75" s="23"/>
      <c r="DO75" s="23"/>
      <c r="DP75" s="23"/>
      <c r="DQ75" s="23"/>
      <c r="DR75" s="24"/>
      <c r="DS75" s="24"/>
      <c r="DT75" s="24"/>
      <c r="DU75" s="23"/>
      <c r="DV75" s="23"/>
      <c r="DW75" s="23"/>
      <c r="DX75" s="23"/>
      <c r="DY75" s="23"/>
      <c r="DZ75" s="23"/>
      <c r="EA75" s="24"/>
    </row>
    <row r="76" spans="1:131">
      <c r="A76" s="24"/>
      <c r="B76" s="24"/>
      <c r="C76" s="24"/>
      <c r="D76" s="24"/>
      <c r="E76" s="24"/>
      <c r="F76" s="24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4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4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4"/>
      <c r="AW76" s="23"/>
      <c r="AX76" s="23"/>
      <c r="AY76" s="23"/>
      <c r="AZ76" s="23"/>
      <c r="BA76" s="23"/>
      <c r="BB76" s="23"/>
      <c r="BC76" s="23"/>
      <c r="BD76" s="24"/>
      <c r="BE76" s="23"/>
      <c r="BF76" s="23"/>
      <c r="BG76" s="23"/>
      <c r="BH76" s="23"/>
      <c r="BI76" s="23"/>
      <c r="BJ76" s="23"/>
      <c r="BK76" s="23"/>
      <c r="BL76" s="23"/>
      <c r="BM76" s="23"/>
      <c r="BN76" s="24"/>
      <c r="BO76" s="23"/>
      <c r="BP76" s="23"/>
      <c r="BQ76" s="23"/>
      <c r="BR76" s="23"/>
      <c r="BS76" s="24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4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4"/>
      <c r="CS76" s="24"/>
      <c r="CT76" s="24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4"/>
      <c r="DM76" s="23"/>
      <c r="DN76" s="23"/>
      <c r="DO76" s="23"/>
      <c r="DP76" s="23"/>
      <c r="DQ76" s="23"/>
      <c r="DR76" s="24"/>
      <c r="DS76" s="24"/>
      <c r="DT76" s="24"/>
      <c r="DU76" s="23"/>
      <c r="DV76" s="23"/>
      <c r="DW76" s="23"/>
      <c r="DX76" s="23"/>
      <c r="DY76" s="23"/>
      <c r="DZ76" s="23"/>
      <c r="EA76" s="24"/>
    </row>
    <row r="77" spans="1:131">
      <c r="A77" s="24"/>
      <c r="B77" s="24"/>
      <c r="C77" s="24"/>
      <c r="D77" s="24"/>
      <c r="E77" s="24"/>
      <c r="F77" s="24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4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4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4"/>
      <c r="AW77" s="23"/>
      <c r="AX77" s="23"/>
      <c r="AY77" s="23"/>
      <c r="AZ77" s="23"/>
      <c r="BA77" s="23"/>
      <c r="BB77" s="23"/>
      <c r="BC77" s="23"/>
      <c r="BD77" s="24"/>
      <c r="BE77" s="23"/>
      <c r="BF77" s="23"/>
      <c r="BG77" s="23"/>
      <c r="BH77" s="23"/>
      <c r="BI77" s="23"/>
      <c r="BJ77" s="23"/>
      <c r="BK77" s="23"/>
      <c r="BL77" s="23"/>
      <c r="BM77" s="23"/>
      <c r="BN77" s="24"/>
      <c r="BO77" s="23"/>
      <c r="BP77" s="23"/>
      <c r="BQ77" s="23"/>
      <c r="BR77" s="23"/>
      <c r="BS77" s="24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4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4"/>
      <c r="CS77" s="24"/>
      <c r="CT77" s="24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4"/>
      <c r="DM77" s="23"/>
      <c r="DN77" s="23"/>
      <c r="DO77" s="23"/>
      <c r="DP77" s="23"/>
      <c r="DQ77" s="23"/>
      <c r="DR77" s="24"/>
      <c r="DS77" s="24"/>
      <c r="DT77" s="24"/>
      <c r="DU77" s="23"/>
      <c r="DV77" s="23"/>
      <c r="DW77" s="23"/>
      <c r="DX77" s="23"/>
      <c r="DY77" s="23"/>
      <c r="DZ77" s="23"/>
      <c r="EA77" s="24"/>
    </row>
    <row r="78" spans="1:131">
      <c r="A78" s="24"/>
      <c r="B78" s="24"/>
      <c r="C78" s="24"/>
      <c r="D78" s="24"/>
      <c r="E78" s="24"/>
      <c r="F78" s="24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4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4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4"/>
      <c r="AW78" s="23"/>
      <c r="AX78" s="23"/>
      <c r="AY78" s="23"/>
      <c r="AZ78" s="23"/>
      <c r="BA78" s="23"/>
      <c r="BB78" s="23"/>
      <c r="BC78" s="23"/>
      <c r="BD78" s="24"/>
      <c r="BE78" s="23"/>
      <c r="BF78" s="23"/>
      <c r="BG78" s="23"/>
      <c r="BH78" s="23"/>
      <c r="BI78" s="23"/>
      <c r="BJ78" s="23"/>
      <c r="BK78" s="23"/>
      <c r="BL78" s="23"/>
      <c r="BM78" s="23"/>
      <c r="BN78" s="24"/>
      <c r="BO78" s="23"/>
      <c r="BP78" s="23"/>
      <c r="BQ78" s="23"/>
      <c r="BR78" s="23"/>
      <c r="BS78" s="24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4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4"/>
      <c r="CS78" s="24"/>
      <c r="CT78" s="24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4"/>
      <c r="DM78" s="23"/>
      <c r="DN78" s="23"/>
      <c r="DO78" s="23"/>
      <c r="DP78" s="23"/>
      <c r="DQ78" s="23"/>
      <c r="DR78" s="24"/>
      <c r="DS78" s="24"/>
      <c r="DT78" s="24"/>
      <c r="DU78" s="23"/>
      <c r="DV78" s="23"/>
      <c r="DW78" s="23"/>
      <c r="DX78" s="23"/>
      <c r="DY78" s="23"/>
      <c r="DZ78" s="23"/>
      <c r="EA78" s="24"/>
    </row>
    <row r="79" spans="1:131">
      <c r="A79" s="24"/>
      <c r="B79" s="24"/>
      <c r="C79" s="24"/>
      <c r="D79" s="24"/>
      <c r="E79" s="24"/>
      <c r="F79" s="24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4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4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4"/>
      <c r="AW79" s="23"/>
      <c r="AX79" s="23"/>
      <c r="AY79" s="23"/>
      <c r="AZ79" s="23"/>
      <c r="BA79" s="23"/>
      <c r="BB79" s="23"/>
      <c r="BC79" s="23"/>
      <c r="BD79" s="24"/>
      <c r="BE79" s="23"/>
      <c r="BF79" s="23"/>
      <c r="BG79" s="23"/>
      <c r="BH79" s="23"/>
      <c r="BI79" s="23"/>
      <c r="BJ79" s="23"/>
      <c r="BK79" s="23"/>
      <c r="BL79" s="23"/>
      <c r="BM79" s="23"/>
      <c r="BN79" s="24"/>
      <c r="BO79" s="23"/>
      <c r="BP79" s="23"/>
      <c r="BQ79" s="23"/>
      <c r="BR79" s="23"/>
      <c r="BS79" s="24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4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4"/>
      <c r="CS79" s="24"/>
      <c r="CT79" s="24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4"/>
      <c r="DM79" s="23"/>
      <c r="DN79" s="23"/>
      <c r="DO79" s="23"/>
      <c r="DP79" s="23"/>
      <c r="DQ79" s="23"/>
      <c r="DR79" s="24"/>
      <c r="DS79" s="24"/>
      <c r="DT79" s="24"/>
      <c r="DU79" s="23"/>
      <c r="DV79" s="23"/>
      <c r="DW79" s="23"/>
      <c r="DX79" s="23"/>
      <c r="DY79" s="23"/>
      <c r="DZ79" s="23"/>
      <c r="EA79" s="24"/>
    </row>
    <row r="80" spans="1:131">
      <c r="A80" s="24"/>
      <c r="B80" s="24"/>
      <c r="C80" s="24"/>
      <c r="D80" s="24"/>
      <c r="E80" s="24"/>
      <c r="F80" s="24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4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4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4"/>
      <c r="AW80" s="23"/>
      <c r="AX80" s="23"/>
      <c r="AY80" s="23"/>
      <c r="AZ80" s="23"/>
      <c r="BA80" s="23"/>
      <c r="BB80" s="23"/>
      <c r="BC80" s="23"/>
      <c r="BD80" s="24"/>
      <c r="BE80" s="23"/>
      <c r="BF80" s="23"/>
      <c r="BG80" s="23"/>
      <c r="BH80" s="23"/>
      <c r="BI80" s="23"/>
      <c r="BJ80" s="23"/>
      <c r="BK80" s="23"/>
      <c r="BL80" s="23"/>
      <c r="BM80" s="23"/>
      <c r="BN80" s="24"/>
      <c r="BO80" s="23"/>
      <c r="BP80" s="23"/>
      <c r="BQ80" s="23"/>
      <c r="BR80" s="23"/>
      <c r="BS80" s="24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4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4"/>
      <c r="CS80" s="24"/>
      <c r="CT80" s="24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4"/>
      <c r="DM80" s="23"/>
      <c r="DN80" s="23"/>
      <c r="DO80" s="23"/>
      <c r="DP80" s="23"/>
      <c r="DQ80" s="23"/>
      <c r="DR80" s="24"/>
      <c r="DS80" s="24"/>
      <c r="DT80" s="24"/>
      <c r="DU80" s="23"/>
      <c r="DV80" s="23"/>
      <c r="DW80" s="23"/>
      <c r="DX80" s="23"/>
      <c r="DY80" s="23"/>
      <c r="DZ80" s="23"/>
      <c r="EA80" s="24"/>
    </row>
    <row r="81" spans="1:131">
      <c r="A81" s="24"/>
      <c r="B81" s="24"/>
      <c r="C81" s="24"/>
      <c r="D81" s="24"/>
      <c r="E81" s="24"/>
      <c r="F81" s="24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4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4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4"/>
      <c r="AW81" s="23"/>
      <c r="AX81" s="23"/>
      <c r="AY81" s="23"/>
      <c r="AZ81" s="23"/>
      <c r="BA81" s="23"/>
      <c r="BB81" s="23"/>
      <c r="BC81" s="23"/>
      <c r="BD81" s="24"/>
      <c r="BE81" s="23"/>
      <c r="BF81" s="23"/>
      <c r="BG81" s="23"/>
      <c r="BH81" s="23"/>
      <c r="BI81" s="23"/>
      <c r="BJ81" s="23"/>
      <c r="BK81" s="23"/>
      <c r="BL81" s="23"/>
      <c r="BM81" s="23"/>
      <c r="BN81" s="24"/>
      <c r="BO81" s="23"/>
      <c r="BP81" s="23"/>
      <c r="BQ81" s="23"/>
      <c r="BR81" s="23"/>
      <c r="BS81" s="24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4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4"/>
      <c r="CS81" s="24"/>
      <c r="CT81" s="24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4"/>
      <c r="DM81" s="23"/>
      <c r="DN81" s="23"/>
      <c r="DO81" s="23"/>
      <c r="DP81" s="23"/>
      <c r="DQ81" s="23"/>
      <c r="DR81" s="24"/>
      <c r="DS81" s="24"/>
      <c r="DT81" s="24"/>
      <c r="DU81" s="23"/>
      <c r="DV81" s="23"/>
      <c r="DW81" s="23"/>
      <c r="DX81" s="23"/>
      <c r="DY81" s="23"/>
      <c r="DZ81" s="23"/>
      <c r="EA81" s="24"/>
    </row>
    <row r="82" spans="1:131">
      <c r="A82" s="24"/>
      <c r="B82" s="24"/>
      <c r="C82" s="24"/>
      <c r="D82" s="24"/>
      <c r="E82" s="24"/>
      <c r="F82" s="24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4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4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4"/>
      <c r="AW82" s="23"/>
      <c r="AX82" s="23"/>
      <c r="AY82" s="23"/>
      <c r="AZ82" s="23"/>
      <c r="BA82" s="23"/>
      <c r="BB82" s="23"/>
      <c r="BC82" s="23"/>
      <c r="BD82" s="24"/>
      <c r="BE82" s="23"/>
      <c r="BF82" s="23"/>
      <c r="BG82" s="23"/>
      <c r="BH82" s="23"/>
      <c r="BI82" s="23"/>
      <c r="BJ82" s="23"/>
      <c r="BK82" s="23"/>
      <c r="BL82" s="23"/>
      <c r="BM82" s="23"/>
      <c r="BN82" s="24"/>
      <c r="BO82" s="23"/>
      <c r="BP82" s="23"/>
      <c r="BQ82" s="23"/>
      <c r="BR82" s="23"/>
      <c r="BS82" s="24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4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4"/>
      <c r="CS82" s="24"/>
      <c r="CT82" s="24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4"/>
      <c r="DM82" s="23"/>
      <c r="DN82" s="23"/>
      <c r="DO82" s="23"/>
      <c r="DP82" s="23"/>
      <c r="DQ82" s="23"/>
      <c r="DR82" s="24"/>
      <c r="DS82" s="24"/>
      <c r="DT82" s="24"/>
      <c r="DU82" s="23"/>
      <c r="DV82" s="23"/>
      <c r="DW82" s="23"/>
      <c r="DX82" s="23"/>
      <c r="DY82" s="23"/>
      <c r="DZ82" s="23"/>
      <c r="EA82" s="24"/>
    </row>
    <row r="83" spans="1:131">
      <c r="A83" s="24"/>
      <c r="B83" s="24"/>
      <c r="C83" s="24"/>
      <c r="D83" s="24"/>
      <c r="E83" s="24"/>
      <c r="F83" s="24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4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4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4"/>
      <c r="AW83" s="23"/>
      <c r="AX83" s="23"/>
      <c r="AY83" s="23"/>
      <c r="AZ83" s="23"/>
      <c r="BA83" s="23"/>
      <c r="BB83" s="23"/>
      <c r="BC83" s="23"/>
      <c r="BD83" s="24"/>
      <c r="BE83" s="23"/>
      <c r="BF83" s="23"/>
      <c r="BG83" s="23"/>
      <c r="BH83" s="23"/>
      <c r="BI83" s="23"/>
      <c r="BJ83" s="23"/>
      <c r="BK83" s="23"/>
      <c r="BL83" s="23"/>
      <c r="BM83" s="23"/>
      <c r="BN83" s="24"/>
      <c r="BO83" s="23"/>
      <c r="BP83" s="23"/>
      <c r="BQ83" s="23"/>
      <c r="BR83" s="23"/>
      <c r="BS83" s="24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4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4"/>
      <c r="CS83" s="24"/>
      <c r="CT83" s="24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4"/>
      <c r="DM83" s="23"/>
      <c r="DN83" s="23"/>
      <c r="DO83" s="23"/>
      <c r="DP83" s="23"/>
      <c r="DQ83" s="23"/>
      <c r="DR83" s="24"/>
      <c r="DS83" s="24"/>
      <c r="DT83" s="24"/>
      <c r="DU83" s="23"/>
      <c r="DV83" s="23"/>
      <c r="DW83" s="23"/>
      <c r="DX83" s="23"/>
      <c r="DY83" s="23"/>
      <c r="DZ83" s="23"/>
      <c r="EA83" s="24"/>
    </row>
    <row r="84" spans="1:131">
      <c r="A84" s="24"/>
      <c r="B84" s="24"/>
      <c r="C84" s="24"/>
      <c r="D84" s="24"/>
      <c r="E84" s="24"/>
      <c r="F84" s="24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4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4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4"/>
      <c r="AW84" s="23"/>
      <c r="AX84" s="23"/>
      <c r="AY84" s="23"/>
      <c r="AZ84" s="23"/>
      <c r="BA84" s="23"/>
      <c r="BB84" s="23"/>
      <c r="BC84" s="23"/>
      <c r="BD84" s="24"/>
      <c r="BE84" s="23"/>
      <c r="BF84" s="23"/>
      <c r="BG84" s="23"/>
      <c r="BH84" s="23"/>
      <c r="BI84" s="23"/>
      <c r="BJ84" s="23"/>
      <c r="BK84" s="23"/>
      <c r="BL84" s="23"/>
      <c r="BM84" s="23"/>
      <c r="BN84" s="24"/>
      <c r="BO84" s="23"/>
      <c r="BP84" s="23"/>
      <c r="BQ84" s="23"/>
      <c r="BR84" s="23"/>
      <c r="BS84" s="24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4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4"/>
      <c r="CS84" s="24"/>
      <c r="CT84" s="24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4"/>
      <c r="DM84" s="23"/>
      <c r="DN84" s="23"/>
      <c r="DO84" s="23"/>
      <c r="DP84" s="23"/>
      <c r="DQ84" s="23"/>
      <c r="DR84" s="24"/>
      <c r="DS84" s="24"/>
      <c r="DT84" s="24"/>
      <c r="DU84" s="23"/>
      <c r="DV84" s="23"/>
      <c r="DW84" s="23"/>
      <c r="DX84" s="23"/>
      <c r="DY84" s="23"/>
      <c r="DZ84" s="23"/>
      <c r="EA84" s="24"/>
    </row>
    <row r="85" spans="1:131">
      <c r="A85" s="24"/>
      <c r="B85" s="24"/>
      <c r="C85" s="24"/>
      <c r="D85" s="24"/>
      <c r="E85" s="24"/>
      <c r="F85" s="24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4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4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4"/>
      <c r="AW85" s="23"/>
      <c r="AX85" s="23"/>
      <c r="AY85" s="23"/>
      <c r="AZ85" s="23"/>
      <c r="BA85" s="23"/>
      <c r="BB85" s="23"/>
      <c r="BC85" s="23"/>
      <c r="BD85" s="24"/>
      <c r="BE85" s="23"/>
      <c r="BF85" s="23"/>
      <c r="BG85" s="23"/>
      <c r="BH85" s="23"/>
      <c r="BI85" s="23"/>
      <c r="BJ85" s="23"/>
      <c r="BK85" s="23"/>
      <c r="BL85" s="23"/>
      <c r="BM85" s="23"/>
      <c r="BN85" s="24"/>
      <c r="BO85" s="23"/>
      <c r="BP85" s="23"/>
      <c r="BQ85" s="23"/>
      <c r="BR85" s="23"/>
      <c r="BS85" s="24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4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4"/>
      <c r="CS85" s="24"/>
      <c r="CT85" s="24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4"/>
      <c r="DM85" s="23"/>
      <c r="DN85" s="23"/>
      <c r="DO85" s="23"/>
      <c r="DP85" s="23"/>
      <c r="DQ85" s="23"/>
      <c r="DR85" s="24"/>
      <c r="DS85" s="24"/>
      <c r="DT85" s="24"/>
      <c r="DU85" s="23"/>
      <c r="DV85" s="23"/>
      <c r="DW85" s="23"/>
      <c r="DX85" s="23"/>
      <c r="DY85" s="23"/>
      <c r="DZ85" s="23"/>
      <c r="EA85" s="24"/>
    </row>
    <row r="86" spans="1:131">
      <c r="A86" s="24"/>
      <c r="B86" s="24"/>
      <c r="C86" s="24"/>
      <c r="D86" s="24"/>
      <c r="E86" s="24"/>
      <c r="F86" s="24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4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4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4"/>
      <c r="AW86" s="23"/>
      <c r="AX86" s="23"/>
      <c r="AY86" s="23"/>
      <c r="AZ86" s="23"/>
      <c r="BA86" s="23"/>
      <c r="BB86" s="23"/>
      <c r="BC86" s="23"/>
      <c r="BD86" s="24"/>
      <c r="BE86" s="23"/>
      <c r="BF86" s="23"/>
      <c r="BG86" s="23"/>
      <c r="BH86" s="23"/>
      <c r="BI86" s="23"/>
      <c r="BJ86" s="23"/>
      <c r="BK86" s="23"/>
      <c r="BL86" s="23"/>
      <c r="BM86" s="23"/>
      <c r="BN86" s="24"/>
      <c r="BO86" s="23"/>
      <c r="BP86" s="23"/>
      <c r="BQ86" s="23"/>
      <c r="BR86" s="23"/>
      <c r="BS86" s="24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4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4"/>
      <c r="CS86" s="24"/>
      <c r="CT86" s="24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4"/>
      <c r="DM86" s="23"/>
      <c r="DN86" s="23"/>
      <c r="DO86" s="23"/>
      <c r="DP86" s="23"/>
      <c r="DQ86" s="23"/>
      <c r="DR86" s="24"/>
      <c r="DS86" s="24"/>
      <c r="DT86" s="24"/>
      <c r="DU86" s="23"/>
      <c r="DV86" s="23"/>
      <c r="DW86" s="23"/>
      <c r="DX86" s="23"/>
      <c r="DY86" s="23"/>
      <c r="DZ86" s="23"/>
      <c r="EA86" s="24"/>
    </row>
    <row r="87" spans="1:131">
      <c r="A87" s="24"/>
      <c r="B87" s="24"/>
      <c r="C87" s="24"/>
      <c r="D87" s="24"/>
      <c r="E87" s="24"/>
      <c r="F87" s="24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4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4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4"/>
      <c r="AW87" s="23"/>
      <c r="AX87" s="23"/>
      <c r="AY87" s="23"/>
      <c r="AZ87" s="23"/>
      <c r="BA87" s="23"/>
      <c r="BB87" s="23"/>
      <c r="BC87" s="23"/>
      <c r="BD87" s="24"/>
      <c r="BE87" s="23"/>
      <c r="BF87" s="23"/>
      <c r="BG87" s="23"/>
      <c r="BH87" s="23"/>
      <c r="BI87" s="23"/>
      <c r="BJ87" s="23"/>
      <c r="BK87" s="23"/>
      <c r="BL87" s="23"/>
      <c r="BM87" s="23"/>
      <c r="BN87" s="24"/>
      <c r="BO87" s="23"/>
      <c r="BP87" s="23"/>
      <c r="BQ87" s="23"/>
      <c r="BR87" s="23"/>
      <c r="BS87" s="24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4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4"/>
      <c r="CS87" s="24"/>
      <c r="CT87" s="24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4"/>
      <c r="DM87" s="23"/>
      <c r="DN87" s="23"/>
      <c r="DO87" s="23"/>
      <c r="DP87" s="23"/>
      <c r="DQ87" s="23"/>
      <c r="DR87" s="24"/>
      <c r="DS87" s="24"/>
      <c r="DT87" s="24"/>
      <c r="DU87" s="23"/>
      <c r="DV87" s="23"/>
      <c r="DW87" s="23"/>
      <c r="DX87" s="23"/>
      <c r="DY87" s="23"/>
      <c r="DZ87" s="23"/>
      <c r="EA87" s="24"/>
    </row>
    <row r="88" spans="1:131">
      <c r="A88" s="24"/>
      <c r="B88" s="24"/>
      <c r="C88" s="24"/>
      <c r="D88" s="24"/>
      <c r="E88" s="24"/>
      <c r="F88" s="24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4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4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4"/>
      <c r="AW88" s="23"/>
      <c r="AX88" s="23"/>
      <c r="AY88" s="23"/>
      <c r="AZ88" s="23"/>
      <c r="BA88" s="23"/>
      <c r="BB88" s="23"/>
      <c r="BC88" s="23"/>
      <c r="BD88" s="24"/>
      <c r="BE88" s="23"/>
      <c r="BF88" s="23"/>
      <c r="BG88" s="23"/>
      <c r="BH88" s="23"/>
      <c r="BI88" s="23"/>
      <c r="BJ88" s="23"/>
      <c r="BK88" s="23"/>
      <c r="BL88" s="23"/>
      <c r="BM88" s="23"/>
      <c r="BN88" s="24"/>
      <c r="BO88" s="23"/>
      <c r="BP88" s="23"/>
      <c r="BQ88" s="23"/>
      <c r="BR88" s="23"/>
      <c r="BS88" s="24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4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4"/>
      <c r="CS88" s="24"/>
      <c r="CT88" s="24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4"/>
      <c r="DM88" s="23"/>
      <c r="DN88" s="23"/>
      <c r="DO88" s="23"/>
      <c r="DP88" s="23"/>
      <c r="DQ88" s="23"/>
      <c r="DR88" s="24"/>
      <c r="DS88" s="24"/>
      <c r="DT88" s="24"/>
      <c r="DU88" s="23"/>
      <c r="DV88" s="23"/>
      <c r="DW88" s="23"/>
      <c r="DX88" s="23"/>
      <c r="DY88" s="23"/>
      <c r="DZ88" s="23"/>
      <c r="EA88" s="24"/>
    </row>
    <row r="89" spans="1:131">
      <c r="A89" s="24"/>
      <c r="B89" s="24"/>
      <c r="C89" s="24"/>
      <c r="D89" s="24"/>
      <c r="E89" s="24"/>
      <c r="F89" s="24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4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4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4"/>
      <c r="AW89" s="23"/>
      <c r="AX89" s="23"/>
      <c r="AY89" s="23"/>
      <c r="AZ89" s="23"/>
      <c r="BA89" s="23"/>
      <c r="BB89" s="23"/>
      <c r="BC89" s="23"/>
      <c r="BD89" s="24"/>
      <c r="BE89" s="23"/>
      <c r="BF89" s="23"/>
      <c r="BG89" s="23"/>
      <c r="BH89" s="23"/>
      <c r="BI89" s="23"/>
      <c r="BJ89" s="23"/>
      <c r="BK89" s="23"/>
      <c r="BL89" s="23"/>
      <c r="BM89" s="23"/>
      <c r="BN89" s="24"/>
      <c r="BO89" s="23"/>
      <c r="BP89" s="23"/>
      <c r="BQ89" s="23"/>
      <c r="BR89" s="23"/>
      <c r="BS89" s="24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4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4"/>
      <c r="CS89" s="24"/>
      <c r="CT89" s="24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4"/>
      <c r="DM89" s="23"/>
      <c r="DN89" s="23"/>
      <c r="DO89" s="23"/>
      <c r="DP89" s="23"/>
      <c r="DQ89" s="23"/>
      <c r="DR89" s="24"/>
      <c r="DS89" s="24"/>
      <c r="DT89" s="24"/>
      <c r="DU89" s="23"/>
      <c r="DV89" s="23"/>
      <c r="DW89" s="23"/>
      <c r="DX89" s="23"/>
      <c r="DY89" s="23"/>
      <c r="DZ89" s="23"/>
      <c r="EA89" s="24"/>
    </row>
    <row r="90" spans="1:131">
      <c r="A90" s="24"/>
      <c r="B90" s="24"/>
      <c r="C90" s="24"/>
      <c r="D90" s="24"/>
      <c r="E90" s="24"/>
      <c r="F90" s="24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4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4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4"/>
      <c r="AW90" s="23"/>
      <c r="AX90" s="23"/>
      <c r="AY90" s="23"/>
      <c r="AZ90" s="23"/>
      <c r="BA90" s="23"/>
      <c r="BB90" s="23"/>
      <c r="BC90" s="23"/>
      <c r="BD90" s="24"/>
      <c r="BE90" s="23"/>
      <c r="BF90" s="23"/>
      <c r="BG90" s="23"/>
      <c r="BH90" s="23"/>
      <c r="BI90" s="23"/>
      <c r="BJ90" s="23"/>
      <c r="BK90" s="23"/>
      <c r="BL90" s="23"/>
      <c r="BM90" s="23"/>
      <c r="BN90" s="24"/>
      <c r="BO90" s="23"/>
      <c r="BP90" s="23"/>
      <c r="BQ90" s="23"/>
      <c r="BR90" s="23"/>
      <c r="BS90" s="24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4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4"/>
      <c r="CS90" s="24"/>
      <c r="CT90" s="24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4"/>
      <c r="DM90" s="23"/>
      <c r="DN90" s="23"/>
      <c r="DO90" s="23"/>
      <c r="DP90" s="23"/>
      <c r="DQ90" s="23"/>
      <c r="DR90" s="24"/>
      <c r="DS90" s="24"/>
      <c r="DT90" s="24"/>
      <c r="DU90" s="23"/>
      <c r="DV90" s="23"/>
      <c r="DW90" s="23"/>
      <c r="DX90" s="23"/>
      <c r="DY90" s="23"/>
      <c r="DZ90" s="23"/>
      <c r="EA90" s="24"/>
    </row>
    <row r="91" spans="1:131">
      <c r="A91" s="24"/>
      <c r="B91" s="24"/>
      <c r="C91" s="24"/>
      <c r="D91" s="24"/>
      <c r="E91" s="24"/>
      <c r="F91" s="24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4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4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4"/>
      <c r="AW91" s="23"/>
      <c r="AX91" s="23"/>
      <c r="AY91" s="23"/>
      <c r="AZ91" s="23"/>
      <c r="BA91" s="23"/>
      <c r="BB91" s="23"/>
      <c r="BC91" s="23"/>
      <c r="BD91" s="24"/>
      <c r="BE91" s="23"/>
      <c r="BF91" s="23"/>
      <c r="BG91" s="23"/>
      <c r="BH91" s="23"/>
      <c r="BI91" s="23"/>
      <c r="BJ91" s="23"/>
      <c r="BK91" s="23"/>
      <c r="BL91" s="23"/>
      <c r="BM91" s="23"/>
      <c r="BN91" s="24"/>
      <c r="BO91" s="23"/>
      <c r="BP91" s="23"/>
      <c r="BQ91" s="23"/>
      <c r="BR91" s="23"/>
      <c r="BS91" s="24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4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4"/>
      <c r="CS91" s="24"/>
      <c r="CT91" s="24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4"/>
      <c r="DM91" s="23"/>
      <c r="DN91" s="23"/>
      <c r="DO91" s="23"/>
      <c r="DP91" s="23"/>
      <c r="DQ91" s="23"/>
      <c r="DR91" s="24"/>
      <c r="DS91" s="24"/>
      <c r="DT91" s="24"/>
      <c r="DU91" s="23"/>
      <c r="DV91" s="23"/>
      <c r="DW91" s="23"/>
      <c r="DX91" s="23"/>
      <c r="DY91" s="23"/>
      <c r="DZ91" s="23"/>
      <c r="EA91" s="24"/>
    </row>
    <row r="92" spans="1:131">
      <c r="A92" s="24"/>
      <c r="B92" s="24"/>
      <c r="C92" s="24"/>
      <c r="D92" s="24"/>
      <c r="E92" s="24"/>
      <c r="F92" s="24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4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4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4"/>
      <c r="AW92" s="23"/>
      <c r="AX92" s="23"/>
      <c r="AY92" s="23"/>
      <c r="AZ92" s="23"/>
      <c r="BA92" s="23"/>
      <c r="BB92" s="23"/>
      <c r="BC92" s="23"/>
      <c r="BD92" s="24"/>
      <c r="BE92" s="23"/>
      <c r="BF92" s="23"/>
      <c r="BG92" s="23"/>
      <c r="BH92" s="23"/>
      <c r="BI92" s="23"/>
      <c r="BJ92" s="23"/>
      <c r="BK92" s="23"/>
      <c r="BL92" s="23"/>
      <c r="BM92" s="23"/>
      <c r="BN92" s="24"/>
      <c r="BO92" s="23"/>
      <c r="BP92" s="23"/>
      <c r="BQ92" s="23"/>
      <c r="BR92" s="23"/>
      <c r="BS92" s="24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4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4"/>
      <c r="CS92" s="24"/>
      <c r="CT92" s="24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4"/>
      <c r="DM92" s="23"/>
      <c r="DN92" s="23"/>
      <c r="DO92" s="23"/>
      <c r="DP92" s="23"/>
      <c r="DQ92" s="23"/>
      <c r="DR92" s="24"/>
      <c r="DS92" s="24"/>
      <c r="DT92" s="24"/>
      <c r="DU92" s="23"/>
      <c r="DV92" s="23"/>
      <c r="DW92" s="23"/>
      <c r="DX92" s="23"/>
      <c r="DY92" s="23"/>
      <c r="DZ92" s="23"/>
      <c r="EA92" s="24"/>
    </row>
    <row r="93" spans="1:131">
      <c r="A93" s="24"/>
      <c r="B93" s="24"/>
      <c r="C93" s="24"/>
      <c r="D93" s="24"/>
      <c r="E93" s="24"/>
      <c r="F93" s="24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4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4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4"/>
      <c r="AW93" s="23"/>
      <c r="AX93" s="23"/>
      <c r="AY93" s="23"/>
      <c r="AZ93" s="23"/>
      <c r="BA93" s="23"/>
      <c r="BB93" s="23"/>
      <c r="BC93" s="23"/>
      <c r="BD93" s="24"/>
      <c r="BE93" s="23"/>
      <c r="BF93" s="23"/>
      <c r="BG93" s="23"/>
      <c r="BH93" s="23"/>
      <c r="BI93" s="23"/>
      <c r="BJ93" s="23"/>
      <c r="BK93" s="23"/>
      <c r="BL93" s="23"/>
      <c r="BM93" s="23"/>
      <c r="BN93" s="24"/>
      <c r="BO93" s="23"/>
      <c r="BP93" s="23"/>
      <c r="BQ93" s="23"/>
      <c r="BR93" s="23"/>
      <c r="BS93" s="24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4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4"/>
      <c r="CS93" s="24"/>
      <c r="CT93" s="24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4"/>
      <c r="DM93" s="23"/>
      <c r="DN93" s="23"/>
      <c r="DO93" s="23"/>
      <c r="DP93" s="23"/>
      <c r="DQ93" s="23"/>
      <c r="DR93" s="24"/>
      <c r="DS93" s="24"/>
      <c r="DT93" s="24"/>
      <c r="DU93" s="23"/>
      <c r="DV93" s="23"/>
      <c r="DW93" s="23"/>
      <c r="DX93" s="23"/>
      <c r="DY93" s="23"/>
      <c r="DZ93" s="23"/>
      <c r="EA93" s="24"/>
    </row>
    <row r="94" spans="1:131">
      <c r="A94" s="24"/>
      <c r="B94" s="24"/>
      <c r="C94" s="24"/>
      <c r="D94" s="24"/>
      <c r="E94" s="24"/>
      <c r="F94" s="24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4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4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4"/>
      <c r="AW94" s="23"/>
      <c r="AX94" s="23"/>
      <c r="AY94" s="23"/>
      <c r="AZ94" s="23"/>
      <c r="BA94" s="23"/>
      <c r="BB94" s="23"/>
      <c r="BC94" s="23"/>
      <c r="BD94" s="24"/>
      <c r="BE94" s="23"/>
      <c r="BF94" s="23"/>
      <c r="BG94" s="23"/>
      <c r="BH94" s="23"/>
      <c r="BI94" s="23"/>
      <c r="BJ94" s="23"/>
      <c r="BK94" s="23"/>
      <c r="BL94" s="23"/>
      <c r="BM94" s="23"/>
      <c r="BN94" s="24"/>
      <c r="BO94" s="23"/>
      <c r="BP94" s="23"/>
      <c r="BQ94" s="23"/>
      <c r="BR94" s="23"/>
      <c r="BS94" s="24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4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4"/>
      <c r="CS94" s="24"/>
      <c r="CT94" s="24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4"/>
      <c r="DM94" s="23"/>
      <c r="DN94" s="23"/>
      <c r="DO94" s="23"/>
      <c r="DP94" s="23"/>
      <c r="DQ94" s="23"/>
      <c r="DR94" s="24"/>
      <c r="DS94" s="24"/>
      <c r="DT94" s="24"/>
      <c r="DU94" s="23"/>
      <c r="DV94" s="23"/>
      <c r="DW94" s="23"/>
      <c r="DX94" s="23"/>
      <c r="DY94" s="23"/>
      <c r="DZ94" s="23"/>
      <c r="EA94" s="24"/>
    </row>
    <row r="95" spans="1:131">
      <c r="A95" s="24"/>
      <c r="B95" s="24"/>
      <c r="C95" s="24"/>
      <c r="D95" s="24"/>
      <c r="E95" s="24"/>
      <c r="F95" s="24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4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4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4"/>
      <c r="AW95" s="23"/>
      <c r="AX95" s="23"/>
      <c r="AY95" s="23"/>
      <c r="AZ95" s="23"/>
      <c r="BA95" s="23"/>
      <c r="BB95" s="23"/>
      <c r="BC95" s="23"/>
      <c r="BD95" s="24"/>
      <c r="BE95" s="23"/>
      <c r="BF95" s="23"/>
      <c r="BG95" s="23"/>
      <c r="BH95" s="23"/>
      <c r="BI95" s="23"/>
      <c r="BJ95" s="23"/>
      <c r="BK95" s="23"/>
      <c r="BL95" s="23"/>
      <c r="BM95" s="23"/>
      <c r="BN95" s="24"/>
      <c r="BO95" s="23"/>
      <c r="BP95" s="23"/>
      <c r="BQ95" s="23"/>
      <c r="BR95" s="23"/>
      <c r="BS95" s="24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4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4"/>
      <c r="CS95" s="24"/>
      <c r="CT95" s="24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4"/>
      <c r="DM95" s="23"/>
      <c r="DN95" s="23"/>
      <c r="DO95" s="23"/>
      <c r="DP95" s="23"/>
      <c r="DQ95" s="23"/>
      <c r="DR95" s="24"/>
      <c r="DS95" s="24"/>
      <c r="DT95" s="24"/>
      <c r="DU95" s="23"/>
      <c r="DV95" s="23"/>
      <c r="DW95" s="23"/>
      <c r="DX95" s="23"/>
      <c r="DY95" s="23"/>
      <c r="DZ95" s="23"/>
      <c r="EA95" s="24"/>
    </row>
    <row r="96" spans="1:131">
      <c r="A96" s="24"/>
      <c r="B96" s="24"/>
      <c r="C96" s="24"/>
      <c r="D96" s="24"/>
      <c r="E96" s="24"/>
      <c r="F96" s="24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4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4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4"/>
      <c r="AW96" s="23"/>
      <c r="AX96" s="23"/>
      <c r="AY96" s="23"/>
      <c r="AZ96" s="23"/>
      <c r="BA96" s="23"/>
      <c r="BB96" s="23"/>
      <c r="BC96" s="23"/>
      <c r="BD96" s="24"/>
      <c r="BE96" s="23"/>
      <c r="BF96" s="23"/>
      <c r="BG96" s="23"/>
      <c r="BH96" s="23"/>
      <c r="BI96" s="23"/>
      <c r="BJ96" s="23"/>
      <c r="BK96" s="23"/>
      <c r="BL96" s="23"/>
      <c r="BM96" s="23"/>
      <c r="BN96" s="24"/>
      <c r="BO96" s="23"/>
      <c r="BP96" s="23"/>
      <c r="BQ96" s="23"/>
      <c r="BR96" s="23"/>
      <c r="BS96" s="24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4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4"/>
      <c r="CS96" s="24"/>
      <c r="CT96" s="24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4"/>
      <c r="DM96" s="23"/>
      <c r="DN96" s="23"/>
      <c r="DO96" s="23"/>
      <c r="DP96" s="23"/>
      <c r="DQ96" s="23"/>
      <c r="DR96" s="24"/>
      <c r="DS96" s="24"/>
      <c r="DT96" s="24"/>
      <c r="DU96" s="23"/>
      <c r="DV96" s="23"/>
      <c r="DW96" s="23"/>
      <c r="DX96" s="23"/>
      <c r="DY96" s="23"/>
      <c r="DZ96" s="23"/>
      <c r="EA96" s="24"/>
    </row>
    <row r="97" spans="1:131">
      <c r="A97" s="24"/>
      <c r="B97" s="24"/>
      <c r="C97" s="24"/>
      <c r="D97" s="24"/>
      <c r="E97" s="24"/>
      <c r="F97" s="24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4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4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4"/>
      <c r="AW97" s="23"/>
      <c r="AX97" s="23"/>
      <c r="AY97" s="23"/>
      <c r="AZ97" s="23"/>
      <c r="BA97" s="23"/>
      <c r="BB97" s="23"/>
      <c r="BC97" s="23"/>
      <c r="BD97" s="24"/>
      <c r="BE97" s="23"/>
      <c r="BF97" s="23"/>
      <c r="BG97" s="23"/>
      <c r="BH97" s="23"/>
      <c r="BI97" s="23"/>
      <c r="BJ97" s="23"/>
      <c r="BK97" s="23"/>
      <c r="BL97" s="23"/>
      <c r="BM97" s="23"/>
      <c r="BN97" s="24"/>
      <c r="BO97" s="23"/>
      <c r="BP97" s="23"/>
      <c r="BQ97" s="23"/>
      <c r="BR97" s="23"/>
      <c r="BS97" s="24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4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4"/>
      <c r="CS97" s="24"/>
      <c r="CT97" s="24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4"/>
      <c r="DM97" s="23"/>
      <c r="DN97" s="23"/>
      <c r="DO97" s="23"/>
      <c r="DP97" s="23"/>
      <c r="DQ97" s="23"/>
      <c r="DR97" s="24"/>
      <c r="DS97" s="24"/>
      <c r="DT97" s="24"/>
      <c r="DU97" s="23"/>
      <c r="DV97" s="23"/>
      <c r="DW97" s="23"/>
      <c r="DX97" s="23"/>
      <c r="DY97" s="23"/>
      <c r="DZ97" s="23"/>
      <c r="EA97" s="24"/>
    </row>
    <row r="98" spans="1:131">
      <c r="A98" s="24"/>
      <c r="B98" s="24"/>
      <c r="C98" s="24"/>
      <c r="D98" s="24"/>
      <c r="E98" s="24"/>
      <c r="F98" s="24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4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4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4"/>
      <c r="AW98" s="23"/>
      <c r="AX98" s="23"/>
      <c r="AY98" s="23"/>
      <c r="AZ98" s="23"/>
      <c r="BA98" s="23"/>
      <c r="BB98" s="23"/>
      <c r="BC98" s="23"/>
      <c r="BD98" s="24"/>
      <c r="BE98" s="23"/>
      <c r="BF98" s="23"/>
      <c r="BG98" s="23"/>
      <c r="BH98" s="23"/>
      <c r="BI98" s="23"/>
      <c r="BJ98" s="23"/>
      <c r="BK98" s="23"/>
      <c r="BL98" s="23"/>
      <c r="BM98" s="23"/>
      <c r="BN98" s="24"/>
      <c r="BO98" s="23"/>
      <c r="BP98" s="23"/>
      <c r="BQ98" s="23"/>
      <c r="BR98" s="23"/>
      <c r="BS98" s="24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4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4"/>
      <c r="CS98" s="24"/>
      <c r="CT98" s="24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4"/>
      <c r="DM98" s="23"/>
      <c r="DN98" s="23"/>
      <c r="DO98" s="23"/>
      <c r="DP98" s="23"/>
      <c r="DQ98" s="23"/>
      <c r="DR98" s="24"/>
      <c r="DS98" s="24"/>
      <c r="DT98" s="24"/>
      <c r="DU98" s="23"/>
      <c r="DV98" s="23"/>
      <c r="DW98" s="23"/>
      <c r="DX98" s="23"/>
      <c r="DY98" s="23"/>
      <c r="DZ98" s="23"/>
      <c r="EA98" s="24"/>
    </row>
    <row r="99" spans="1:131">
      <c r="A99" s="24"/>
      <c r="B99" s="24"/>
      <c r="C99" s="24"/>
      <c r="D99" s="24"/>
      <c r="E99" s="24"/>
      <c r="F99" s="24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4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4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4"/>
      <c r="AW99" s="23"/>
      <c r="AX99" s="23"/>
      <c r="AY99" s="23"/>
      <c r="AZ99" s="23"/>
      <c r="BA99" s="23"/>
      <c r="BB99" s="23"/>
      <c r="BC99" s="23"/>
      <c r="BD99" s="24"/>
      <c r="BE99" s="23"/>
      <c r="BF99" s="23"/>
      <c r="BG99" s="23"/>
      <c r="BH99" s="23"/>
      <c r="BI99" s="23"/>
      <c r="BJ99" s="23"/>
      <c r="BK99" s="23"/>
      <c r="BL99" s="23"/>
      <c r="BM99" s="23"/>
      <c r="BN99" s="24"/>
      <c r="BO99" s="23"/>
      <c r="BP99" s="23"/>
      <c r="BQ99" s="23"/>
      <c r="BR99" s="23"/>
      <c r="BS99" s="24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4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4"/>
      <c r="CS99" s="24"/>
      <c r="CT99" s="24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4"/>
      <c r="DM99" s="23"/>
      <c r="DN99" s="23"/>
      <c r="DO99" s="23"/>
      <c r="DP99" s="23"/>
      <c r="DQ99" s="23"/>
      <c r="DR99" s="24"/>
      <c r="DS99" s="24"/>
      <c r="DT99" s="24"/>
      <c r="DU99" s="23"/>
      <c r="DV99" s="23"/>
      <c r="DW99" s="23"/>
      <c r="DX99" s="23"/>
      <c r="DY99" s="23"/>
      <c r="DZ99" s="23"/>
      <c r="EA99" s="24"/>
    </row>
    <row r="100" spans="1:131">
      <c r="A100" s="24"/>
      <c r="B100" s="24"/>
      <c r="C100" s="24"/>
      <c r="D100" s="24"/>
      <c r="E100" s="24"/>
      <c r="F100" s="24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4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4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4"/>
      <c r="AW100" s="23"/>
      <c r="AX100" s="23"/>
      <c r="AY100" s="23"/>
      <c r="AZ100" s="23"/>
      <c r="BA100" s="23"/>
      <c r="BB100" s="23"/>
      <c r="BC100" s="23"/>
      <c r="BD100" s="24"/>
      <c r="BE100" s="23"/>
      <c r="BF100" s="23"/>
      <c r="BG100" s="23"/>
      <c r="BH100" s="23"/>
      <c r="BI100" s="23"/>
      <c r="BJ100" s="23"/>
      <c r="BK100" s="23"/>
      <c r="BL100" s="23"/>
      <c r="BM100" s="23"/>
      <c r="BN100" s="24"/>
      <c r="BO100" s="23"/>
      <c r="BP100" s="23"/>
      <c r="BQ100" s="23"/>
      <c r="BR100" s="23"/>
      <c r="BS100" s="24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4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4"/>
      <c r="CS100" s="24"/>
      <c r="CT100" s="24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4"/>
      <c r="DM100" s="23"/>
      <c r="DN100" s="23"/>
      <c r="DO100" s="23"/>
      <c r="DP100" s="23"/>
      <c r="DQ100" s="23"/>
      <c r="DR100" s="24"/>
      <c r="DS100" s="24"/>
      <c r="DT100" s="24"/>
      <c r="DU100" s="23"/>
      <c r="DV100" s="23"/>
      <c r="DW100" s="23"/>
      <c r="DX100" s="23"/>
      <c r="DY100" s="23"/>
      <c r="DZ100" s="23"/>
      <c r="EA100" s="24"/>
    </row>
    <row r="101" spans="1:131">
      <c r="A101" s="24"/>
      <c r="B101" s="24"/>
      <c r="C101" s="24"/>
      <c r="D101" s="24"/>
      <c r="E101" s="24"/>
      <c r="F101" s="24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4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4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4"/>
      <c r="AW101" s="23"/>
      <c r="AX101" s="23"/>
      <c r="AY101" s="23"/>
      <c r="AZ101" s="23"/>
      <c r="BA101" s="23"/>
      <c r="BB101" s="23"/>
      <c r="BC101" s="23"/>
      <c r="BD101" s="24"/>
      <c r="BE101" s="23"/>
      <c r="BF101" s="23"/>
      <c r="BG101" s="23"/>
      <c r="BH101" s="23"/>
      <c r="BI101" s="23"/>
      <c r="BJ101" s="23"/>
      <c r="BK101" s="23"/>
      <c r="BL101" s="23"/>
      <c r="BM101" s="23"/>
      <c r="BN101" s="24"/>
      <c r="BO101" s="23"/>
      <c r="BP101" s="23"/>
      <c r="BQ101" s="23"/>
      <c r="BR101" s="23"/>
      <c r="BS101" s="24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4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4"/>
      <c r="CS101" s="24"/>
      <c r="CT101" s="24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4"/>
      <c r="DM101" s="23"/>
      <c r="DN101" s="23"/>
      <c r="DO101" s="23"/>
      <c r="DP101" s="23"/>
      <c r="DQ101" s="23"/>
      <c r="DR101" s="24"/>
      <c r="DS101" s="24"/>
      <c r="DT101" s="24"/>
      <c r="DU101" s="23"/>
      <c r="DV101" s="23"/>
      <c r="DW101" s="23"/>
      <c r="DX101" s="23"/>
      <c r="DY101" s="23"/>
      <c r="DZ101" s="23"/>
      <c r="EA101" s="24"/>
    </row>
    <row r="102" spans="1:131">
      <c r="A102" s="24"/>
      <c r="B102" s="24"/>
      <c r="C102" s="24"/>
      <c r="D102" s="24"/>
      <c r="E102" s="24"/>
      <c r="F102" s="24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4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4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4"/>
      <c r="AW102" s="23"/>
      <c r="AX102" s="23"/>
      <c r="AY102" s="23"/>
      <c r="AZ102" s="23"/>
      <c r="BA102" s="23"/>
      <c r="BB102" s="23"/>
      <c r="BC102" s="23"/>
      <c r="BD102" s="24"/>
      <c r="BE102" s="23"/>
      <c r="BF102" s="23"/>
      <c r="BG102" s="23"/>
      <c r="BH102" s="23"/>
      <c r="BI102" s="23"/>
      <c r="BJ102" s="23"/>
      <c r="BK102" s="23"/>
      <c r="BL102" s="23"/>
      <c r="BM102" s="23"/>
      <c r="BN102" s="24"/>
      <c r="BO102" s="23"/>
      <c r="BP102" s="23"/>
      <c r="BQ102" s="23"/>
      <c r="BR102" s="23"/>
      <c r="BS102" s="24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4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4"/>
      <c r="CS102" s="24"/>
      <c r="CT102" s="24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4"/>
      <c r="DM102" s="23"/>
      <c r="DN102" s="23"/>
      <c r="DO102" s="23"/>
      <c r="DP102" s="23"/>
      <c r="DQ102" s="23"/>
      <c r="DR102" s="24"/>
      <c r="DS102" s="24"/>
      <c r="DT102" s="24"/>
      <c r="DU102" s="23"/>
      <c r="DV102" s="23"/>
      <c r="DW102" s="23"/>
      <c r="DX102" s="23"/>
      <c r="DY102" s="23"/>
      <c r="DZ102" s="23"/>
      <c r="EA102" s="24"/>
    </row>
    <row r="103" spans="1:131">
      <c r="A103" s="24"/>
      <c r="B103" s="24"/>
      <c r="C103" s="24"/>
      <c r="D103" s="24"/>
      <c r="E103" s="24"/>
      <c r="F103" s="24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4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4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4"/>
      <c r="AW103" s="23"/>
      <c r="AX103" s="23"/>
      <c r="AY103" s="23"/>
      <c r="AZ103" s="23"/>
      <c r="BA103" s="23"/>
      <c r="BB103" s="23"/>
      <c r="BC103" s="23"/>
      <c r="BD103" s="24"/>
      <c r="BE103" s="23"/>
      <c r="BF103" s="23"/>
      <c r="BG103" s="23"/>
      <c r="BH103" s="23"/>
      <c r="BI103" s="23"/>
      <c r="BJ103" s="23"/>
      <c r="BK103" s="23"/>
      <c r="BL103" s="23"/>
      <c r="BM103" s="23"/>
      <c r="BN103" s="24"/>
      <c r="BO103" s="23"/>
      <c r="BP103" s="23"/>
      <c r="BQ103" s="23"/>
      <c r="BR103" s="23"/>
      <c r="BS103" s="24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4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4"/>
      <c r="CS103" s="24"/>
      <c r="CT103" s="24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4"/>
      <c r="DM103" s="23"/>
      <c r="DN103" s="23"/>
      <c r="DO103" s="23"/>
      <c r="DP103" s="23"/>
      <c r="DQ103" s="23"/>
      <c r="DR103" s="24"/>
      <c r="DS103" s="24"/>
      <c r="DT103" s="24"/>
      <c r="DU103" s="23"/>
      <c r="DV103" s="23"/>
      <c r="DW103" s="23"/>
      <c r="DX103" s="23"/>
      <c r="DY103" s="23"/>
      <c r="DZ103" s="23"/>
      <c r="EA103" s="24"/>
    </row>
    <row r="104" spans="1:131">
      <c r="A104" s="24"/>
      <c r="B104" s="24"/>
      <c r="C104" s="24"/>
      <c r="D104" s="24"/>
      <c r="E104" s="24"/>
      <c r="F104" s="24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4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4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4"/>
      <c r="AW104" s="23"/>
      <c r="AX104" s="23"/>
      <c r="AY104" s="23"/>
      <c r="AZ104" s="23"/>
      <c r="BA104" s="23"/>
      <c r="BB104" s="23"/>
      <c r="BC104" s="23"/>
      <c r="BD104" s="24"/>
      <c r="BE104" s="23"/>
      <c r="BF104" s="23"/>
      <c r="BG104" s="23"/>
      <c r="BH104" s="23"/>
      <c r="BI104" s="23"/>
      <c r="BJ104" s="23"/>
      <c r="BK104" s="23"/>
      <c r="BL104" s="23"/>
      <c r="BM104" s="23"/>
      <c r="BN104" s="24"/>
      <c r="BO104" s="23"/>
      <c r="BP104" s="23"/>
      <c r="BQ104" s="23"/>
      <c r="BR104" s="23"/>
      <c r="BS104" s="24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4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4"/>
      <c r="CS104" s="24"/>
      <c r="CT104" s="24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4"/>
      <c r="DM104" s="23"/>
      <c r="DN104" s="23"/>
      <c r="DO104" s="23"/>
      <c r="DP104" s="23"/>
      <c r="DQ104" s="23"/>
      <c r="DR104" s="24"/>
      <c r="DS104" s="24"/>
      <c r="DT104" s="24"/>
      <c r="DU104" s="23"/>
      <c r="DV104" s="23"/>
      <c r="DW104" s="23"/>
      <c r="DX104" s="23"/>
      <c r="DY104" s="23"/>
      <c r="DZ104" s="23"/>
      <c r="EA104" s="24"/>
    </row>
    <row r="105" spans="1:131">
      <c r="A105" s="24"/>
      <c r="B105" s="24"/>
      <c r="C105" s="24"/>
      <c r="D105" s="24"/>
      <c r="E105" s="24"/>
      <c r="F105" s="24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4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4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4"/>
      <c r="AW105" s="23"/>
      <c r="AX105" s="23"/>
      <c r="AY105" s="23"/>
      <c r="AZ105" s="23"/>
      <c r="BA105" s="23"/>
      <c r="BB105" s="23"/>
      <c r="BC105" s="23"/>
      <c r="BD105" s="24"/>
      <c r="BE105" s="23"/>
      <c r="BF105" s="23"/>
      <c r="BG105" s="23"/>
      <c r="BH105" s="23"/>
      <c r="BI105" s="23"/>
      <c r="BJ105" s="23"/>
      <c r="BK105" s="23"/>
      <c r="BL105" s="23"/>
      <c r="BM105" s="23"/>
      <c r="BN105" s="24"/>
      <c r="BO105" s="23"/>
      <c r="BP105" s="23"/>
      <c r="BQ105" s="23"/>
      <c r="BR105" s="23"/>
      <c r="BS105" s="24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4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4"/>
      <c r="CS105" s="24"/>
      <c r="CT105" s="24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4"/>
      <c r="DM105" s="23"/>
      <c r="DN105" s="23"/>
      <c r="DO105" s="23"/>
      <c r="DP105" s="23"/>
      <c r="DQ105" s="23"/>
      <c r="DR105" s="24"/>
      <c r="DS105" s="24"/>
      <c r="DT105" s="24"/>
      <c r="DU105" s="23"/>
      <c r="DV105" s="23"/>
      <c r="DW105" s="23"/>
      <c r="DX105" s="23"/>
      <c r="DY105" s="23"/>
      <c r="DZ105" s="23"/>
      <c r="EA105" s="24"/>
    </row>
    <row r="106" spans="1:131">
      <c r="A106" s="24"/>
      <c r="B106" s="24"/>
      <c r="C106" s="24"/>
      <c r="D106" s="24"/>
      <c r="E106" s="24"/>
      <c r="F106" s="24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4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4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4"/>
      <c r="AW106" s="23"/>
      <c r="AX106" s="23"/>
      <c r="AY106" s="23"/>
      <c r="AZ106" s="23"/>
      <c r="BA106" s="23"/>
      <c r="BB106" s="23"/>
      <c r="BC106" s="23"/>
      <c r="BD106" s="24"/>
      <c r="BE106" s="23"/>
      <c r="BF106" s="23"/>
      <c r="BG106" s="23"/>
      <c r="BH106" s="23"/>
      <c r="BI106" s="23"/>
      <c r="BJ106" s="23"/>
      <c r="BK106" s="23"/>
      <c r="BL106" s="23"/>
      <c r="BM106" s="23"/>
      <c r="BN106" s="24"/>
      <c r="BO106" s="23"/>
      <c r="BP106" s="23"/>
      <c r="BQ106" s="23"/>
      <c r="BR106" s="23"/>
      <c r="BS106" s="24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4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4"/>
      <c r="CS106" s="24"/>
      <c r="CT106" s="24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4"/>
      <c r="DM106" s="23"/>
      <c r="DN106" s="23"/>
      <c r="DO106" s="23"/>
      <c r="DP106" s="23"/>
      <c r="DQ106" s="23"/>
      <c r="DR106" s="24"/>
      <c r="DS106" s="24"/>
      <c r="DT106" s="24"/>
      <c r="DU106" s="23"/>
      <c r="DV106" s="23"/>
      <c r="DW106" s="23"/>
      <c r="DX106" s="23"/>
      <c r="DY106" s="23"/>
      <c r="DZ106" s="23"/>
      <c r="EA106" s="24"/>
    </row>
    <row r="107" spans="1:131">
      <c r="A107" s="24"/>
      <c r="B107" s="24"/>
      <c r="C107" s="24"/>
      <c r="D107" s="24"/>
      <c r="E107" s="24"/>
      <c r="F107" s="24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4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4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4"/>
      <c r="AW107" s="23"/>
      <c r="AX107" s="23"/>
      <c r="AY107" s="23"/>
      <c r="AZ107" s="23"/>
      <c r="BA107" s="23"/>
      <c r="BB107" s="23"/>
      <c r="BC107" s="23"/>
      <c r="BD107" s="24"/>
      <c r="BE107" s="23"/>
      <c r="BF107" s="23"/>
      <c r="BG107" s="23"/>
      <c r="BH107" s="23"/>
      <c r="BI107" s="23"/>
      <c r="BJ107" s="23"/>
      <c r="BK107" s="23"/>
      <c r="BL107" s="23"/>
      <c r="BM107" s="23"/>
      <c r="BN107" s="24"/>
      <c r="BO107" s="23"/>
      <c r="BP107" s="23"/>
      <c r="BQ107" s="23"/>
      <c r="BR107" s="23"/>
      <c r="BS107" s="24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4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4"/>
      <c r="CS107" s="24"/>
      <c r="CT107" s="24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4"/>
      <c r="DM107" s="23"/>
      <c r="DN107" s="23"/>
      <c r="DO107" s="23"/>
      <c r="DP107" s="23"/>
      <c r="DQ107" s="23"/>
      <c r="DR107" s="24"/>
      <c r="DS107" s="24"/>
      <c r="DT107" s="24"/>
      <c r="DU107" s="23"/>
      <c r="DV107" s="23"/>
      <c r="DW107" s="23"/>
      <c r="DX107" s="23"/>
      <c r="DY107" s="23"/>
      <c r="DZ107" s="23"/>
      <c r="EA107" s="24"/>
    </row>
    <row r="108" spans="1:131">
      <c r="A108" s="24"/>
      <c r="B108" s="24"/>
      <c r="C108" s="24"/>
      <c r="D108" s="24"/>
      <c r="E108" s="24"/>
      <c r="F108" s="24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4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4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4"/>
      <c r="AW108" s="23"/>
      <c r="AX108" s="23"/>
      <c r="AY108" s="23"/>
      <c r="AZ108" s="23"/>
      <c r="BA108" s="23"/>
      <c r="BB108" s="23"/>
      <c r="BC108" s="23"/>
      <c r="BD108" s="24"/>
      <c r="BE108" s="23"/>
      <c r="BF108" s="23"/>
      <c r="BG108" s="23"/>
      <c r="BH108" s="23"/>
      <c r="BI108" s="23"/>
      <c r="BJ108" s="23"/>
      <c r="BK108" s="23"/>
      <c r="BL108" s="23"/>
      <c r="BM108" s="23"/>
      <c r="BN108" s="24"/>
      <c r="BO108" s="23"/>
      <c r="BP108" s="23"/>
      <c r="BQ108" s="23"/>
      <c r="BR108" s="23"/>
      <c r="BS108" s="24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4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4"/>
      <c r="CS108" s="24"/>
      <c r="CT108" s="24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4"/>
      <c r="DM108" s="23"/>
      <c r="DN108" s="23"/>
      <c r="DO108" s="23"/>
      <c r="DP108" s="23"/>
      <c r="DQ108" s="23"/>
      <c r="DR108" s="24"/>
      <c r="DS108" s="24"/>
      <c r="DT108" s="24"/>
      <c r="DU108" s="23"/>
      <c r="DV108" s="23"/>
      <c r="DW108" s="23"/>
      <c r="DX108" s="23"/>
      <c r="DY108" s="23"/>
      <c r="DZ108" s="23"/>
      <c r="EA108" s="24"/>
    </row>
    <row r="109" spans="1:131">
      <c r="A109" s="24"/>
      <c r="B109" s="24"/>
      <c r="C109" s="24"/>
      <c r="D109" s="24"/>
      <c r="E109" s="24"/>
      <c r="F109" s="24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4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4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4"/>
      <c r="AW109" s="23"/>
      <c r="AX109" s="23"/>
      <c r="AY109" s="23"/>
      <c r="AZ109" s="23"/>
      <c r="BA109" s="23"/>
      <c r="BB109" s="23"/>
      <c r="BC109" s="23"/>
      <c r="BD109" s="24"/>
      <c r="BE109" s="23"/>
      <c r="BF109" s="23"/>
      <c r="BG109" s="23"/>
      <c r="BH109" s="23"/>
      <c r="BI109" s="23"/>
      <c r="BJ109" s="23"/>
      <c r="BK109" s="23"/>
      <c r="BL109" s="23"/>
      <c r="BM109" s="23"/>
      <c r="BN109" s="24"/>
      <c r="BO109" s="23"/>
      <c r="BP109" s="23"/>
      <c r="BQ109" s="23"/>
      <c r="BR109" s="23"/>
      <c r="BS109" s="24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4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4"/>
      <c r="CS109" s="24"/>
      <c r="CT109" s="24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4"/>
      <c r="DM109" s="23"/>
      <c r="DN109" s="23"/>
      <c r="DO109" s="23"/>
      <c r="DP109" s="23"/>
      <c r="DQ109" s="23"/>
      <c r="DR109" s="24"/>
      <c r="DS109" s="24"/>
      <c r="DT109" s="24"/>
      <c r="DU109" s="23"/>
      <c r="DV109" s="23"/>
      <c r="DW109" s="23"/>
      <c r="DX109" s="23"/>
      <c r="DY109" s="23"/>
      <c r="DZ109" s="23"/>
      <c r="EA109" s="24"/>
    </row>
    <row r="110" spans="1:131">
      <c r="A110" s="24"/>
      <c r="B110" s="24"/>
      <c r="C110" s="24"/>
      <c r="D110" s="24"/>
      <c r="E110" s="24"/>
      <c r="F110" s="24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4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4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4"/>
      <c r="AW110" s="23"/>
      <c r="AX110" s="23"/>
      <c r="AY110" s="23"/>
      <c r="AZ110" s="23"/>
      <c r="BA110" s="23"/>
      <c r="BB110" s="23"/>
      <c r="BC110" s="23"/>
      <c r="BD110" s="24"/>
      <c r="BE110" s="23"/>
      <c r="BF110" s="23"/>
      <c r="BG110" s="23"/>
      <c r="BH110" s="23"/>
      <c r="BI110" s="23"/>
      <c r="BJ110" s="23"/>
      <c r="BK110" s="23"/>
      <c r="BL110" s="23"/>
      <c r="BM110" s="23"/>
      <c r="BN110" s="24"/>
      <c r="BO110" s="23"/>
      <c r="BP110" s="23"/>
      <c r="BQ110" s="23"/>
      <c r="BR110" s="23"/>
      <c r="BS110" s="24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4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4"/>
      <c r="CS110" s="24"/>
      <c r="CT110" s="24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4"/>
      <c r="DM110" s="23"/>
      <c r="DN110" s="23"/>
      <c r="DO110" s="23"/>
      <c r="DP110" s="23"/>
      <c r="DQ110" s="23"/>
      <c r="DR110" s="24"/>
      <c r="DS110" s="24"/>
      <c r="DT110" s="24"/>
      <c r="DU110" s="23"/>
      <c r="DV110" s="23"/>
      <c r="DW110" s="23"/>
      <c r="DX110" s="23"/>
      <c r="DY110" s="23"/>
      <c r="DZ110" s="23"/>
      <c r="EA110" s="24"/>
    </row>
    <row r="111" spans="1:131">
      <c r="A111" s="24"/>
      <c r="B111" s="24"/>
      <c r="C111" s="24"/>
      <c r="D111" s="24"/>
      <c r="E111" s="24"/>
      <c r="F111" s="24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4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4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4"/>
      <c r="AW111" s="23"/>
      <c r="AX111" s="23"/>
      <c r="AY111" s="23"/>
      <c r="AZ111" s="23"/>
      <c r="BA111" s="23"/>
      <c r="BB111" s="23"/>
      <c r="BC111" s="23"/>
      <c r="BD111" s="24"/>
      <c r="BE111" s="23"/>
      <c r="BF111" s="23"/>
      <c r="BG111" s="23"/>
      <c r="BH111" s="23"/>
      <c r="BI111" s="23"/>
      <c r="BJ111" s="23"/>
      <c r="BK111" s="23"/>
      <c r="BL111" s="23"/>
      <c r="BM111" s="23"/>
      <c r="BN111" s="24"/>
      <c r="BO111" s="23"/>
      <c r="BP111" s="23"/>
      <c r="BQ111" s="23"/>
      <c r="BR111" s="23"/>
      <c r="BS111" s="24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4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4"/>
      <c r="CS111" s="24"/>
      <c r="CT111" s="24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4"/>
      <c r="DM111" s="23"/>
      <c r="DN111" s="23"/>
      <c r="DO111" s="23"/>
      <c r="DP111" s="23"/>
      <c r="DQ111" s="23"/>
      <c r="DR111" s="24"/>
      <c r="DS111" s="24"/>
      <c r="DT111" s="24"/>
      <c r="DU111" s="23"/>
      <c r="DV111" s="23"/>
      <c r="DW111" s="23"/>
      <c r="DX111" s="23"/>
      <c r="DY111" s="23"/>
      <c r="DZ111" s="23"/>
      <c r="EA111" s="24"/>
    </row>
    <row r="112" spans="1:131">
      <c r="A112" s="24"/>
      <c r="B112" s="24"/>
      <c r="C112" s="24"/>
      <c r="D112" s="24"/>
      <c r="E112" s="24"/>
      <c r="F112" s="24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4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4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4"/>
      <c r="AW112" s="23"/>
      <c r="AX112" s="23"/>
      <c r="AY112" s="23"/>
      <c r="AZ112" s="23"/>
      <c r="BA112" s="23"/>
      <c r="BB112" s="23"/>
      <c r="BC112" s="23"/>
      <c r="BD112" s="24"/>
      <c r="BE112" s="23"/>
      <c r="BF112" s="23"/>
      <c r="BG112" s="23"/>
      <c r="BH112" s="23"/>
      <c r="BI112" s="23"/>
      <c r="BJ112" s="23"/>
      <c r="BK112" s="23"/>
      <c r="BL112" s="23"/>
      <c r="BM112" s="23"/>
      <c r="BN112" s="24"/>
      <c r="BO112" s="23"/>
      <c r="BP112" s="23"/>
      <c r="BQ112" s="23"/>
      <c r="BR112" s="23"/>
      <c r="BS112" s="24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4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4"/>
      <c r="CS112" s="24"/>
      <c r="CT112" s="24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4"/>
      <c r="DM112" s="23"/>
      <c r="DN112" s="23"/>
      <c r="DO112" s="23"/>
      <c r="DP112" s="23"/>
      <c r="DQ112" s="23"/>
      <c r="DR112" s="24"/>
      <c r="DS112" s="24"/>
      <c r="DT112" s="24"/>
      <c r="DU112" s="23"/>
      <c r="DV112" s="23"/>
      <c r="DW112" s="23"/>
      <c r="DX112" s="23"/>
      <c r="DY112" s="23"/>
      <c r="DZ112" s="23"/>
      <c r="EA112" s="24"/>
    </row>
    <row r="113" spans="1:131">
      <c r="A113" s="24"/>
      <c r="B113" s="24"/>
      <c r="C113" s="24"/>
      <c r="D113" s="24"/>
      <c r="E113" s="24"/>
      <c r="F113" s="24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4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4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4"/>
      <c r="AW113" s="23"/>
      <c r="AX113" s="23"/>
      <c r="AY113" s="23"/>
      <c r="AZ113" s="23"/>
      <c r="BA113" s="23"/>
      <c r="BB113" s="23"/>
      <c r="BC113" s="23"/>
      <c r="BD113" s="24"/>
      <c r="BE113" s="23"/>
      <c r="BF113" s="23"/>
      <c r="BG113" s="23"/>
      <c r="BH113" s="23"/>
      <c r="BI113" s="23"/>
      <c r="BJ113" s="23"/>
      <c r="BK113" s="23"/>
      <c r="BL113" s="23"/>
      <c r="BM113" s="23"/>
      <c r="BN113" s="24"/>
      <c r="BO113" s="23"/>
      <c r="BP113" s="23"/>
      <c r="BQ113" s="23"/>
      <c r="BR113" s="23"/>
      <c r="BS113" s="24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4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4"/>
      <c r="CS113" s="24"/>
      <c r="CT113" s="24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4"/>
      <c r="DM113" s="23"/>
      <c r="DN113" s="23"/>
      <c r="DO113" s="23"/>
      <c r="DP113" s="23"/>
      <c r="DQ113" s="23"/>
      <c r="DR113" s="24"/>
      <c r="DS113" s="24"/>
      <c r="DT113" s="24"/>
      <c r="DU113" s="23"/>
      <c r="DV113" s="23"/>
      <c r="DW113" s="23"/>
      <c r="DX113" s="23"/>
      <c r="DY113" s="23"/>
      <c r="DZ113" s="23"/>
      <c r="EA113" s="24"/>
    </row>
    <row r="114" spans="1:131">
      <c r="A114" s="24"/>
      <c r="B114" s="24"/>
      <c r="C114" s="24"/>
      <c r="D114" s="24"/>
      <c r="E114" s="24"/>
      <c r="F114" s="24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4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4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4"/>
      <c r="AW114" s="23"/>
      <c r="AX114" s="23"/>
      <c r="AY114" s="23"/>
      <c r="AZ114" s="23"/>
      <c r="BA114" s="23"/>
      <c r="BB114" s="23"/>
      <c r="BC114" s="23"/>
      <c r="BD114" s="24"/>
      <c r="BE114" s="23"/>
      <c r="BF114" s="23"/>
      <c r="BG114" s="23"/>
      <c r="BH114" s="23"/>
      <c r="BI114" s="23"/>
      <c r="BJ114" s="23"/>
      <c r="BK114" s="23"/>
      <c r="BL114" s="23"/>
      <c r="BM114" s="23"/>
      <c r="BN114" s="24"/>
      <c r="BO114" s="23"/>
      <c r="BP114" s="23"/>
      <c r="BQ114" s="23"/>
      <c r="BR114" s="23"/>
      <c r="BS114" s="24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4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4"/>
      <c r="CS114" s="24"/>
      <c r="CT114" s="24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4"/>
      <c r="DM114" s="23"/>
      <c r="DN114" s="23"/>
      <c r="DO114" s="23"/>
      <c r="DP114" s="23"/>
      <c r="DQ114" s="23"/>
      <c r="DR114" s="24"/>
      <c r="DS114" s="24"/>
      <c r="DT114" s="24"/>
      <c r="DU114" s="23"/>
      <c r="DV114" s="23"/>
      <c r="DW114" s="23"/>
      <c r="DX114" s="23"/>
      <c r="DY114" s="23"/>
      <c r="DZ114" s="23"/>
      <c r="EA114" s="24"/>
    </row>
    <row r="115" spans="1:131">
      <c r="A115" s="24"/>
      <c r="B115" s="24"/>
      <c r="C115" s="24"/>
      <c r="D115" s="24"/>
      <c r="E115" s="24"/>
      <c r="F115" s="24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4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4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4"/>
      <c r="AW115" s="23"/>
      <c r="AX115" s="23"/>
      <c r="AY115" s="23"/>
      <c r="AZ115" s="23"/>
      <c r="BA115" s="23"/>
      <c r="BB115" s="23"/>
      <c r="BC115" s="23"/>
      <c r="BD115" s="24"/>
      <c r="BE115" s="23"/>
      <c r="BF115" s="23"/>
      <c r="BG115" s="23"/>
      <c r="BH115" s="23"/>
      <c r="BI115" s="23"/>
      <c r="BJ115" s="23"/>
      <c r="BK115" s="23"/>
      <c r="BL115" s="23"/>
      <c r="BM115" s="23"/>
      <c r="BN115" s="24"/>
      <c r="BO115" s="23"/>
      <c r="BP115" s="23"/>
      <c r="BQ115" s="23"/>
      <c r="BR115" s="23"/>
      <c r="BS115" s="24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4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4"/>
      <c r="CS115" s="24"/>
      <c r="CT115" s="24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4"/>
      <c r="DM115" s="23"/>
      <c r="DN115" s="23"/>
      <c r="DO115" s="23"/>
      <c r="DP115" s="23"/>
      <c r="DQ115" s="23"/>
      <c r="DR115" s="24"/>
      <c r="DS115" s="24"/>
      <c r="DT115" s="24"/>
      <c r="DU115" s="23"/>
      <c r="DV115" s="23"/>
      <c r="DW115" s="23"/>
      <c r="DX115" s="23"/>
      <c r="DY115" s="23"/>
      <c r="DZ115" s="23"/>
      <c r="EA115" s="24"/>
    </row>
    <row r="116" spans="1:131">
      <c r="A116" s="24"/>
      <c r="B116" s="24"/>
      <c r="C116" s="24"/>
      <c r="D116" s="24"/>
      <c r="E116" s="24"/>
      <c r="F116" s="24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4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4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4"/>
      <c r="AW116" s="23"/>
      <c r="AX116" s="23"/>
      <c r="AY116" s="23"/>
      <c r="AZ116" s="23"/>
      <c r="BA116" s="23"/>
      <c r="BB116" s="23"/>
      <c r="BC116" s="23"/>
      <c r="BD116" s="24"/>
      <c r="BE116" s="23"/>
      <c r="BF116" s="23"/>
      <c r="BG116" s="23"/>
      <c r="BH116" s="23"/>
      <c r="BI116" s="23"/>
      <c r="BJ116" s="23"/>
      <c r="BK116" s="23"/>
      <c r="BL116" s="23"/>
      <c r="BM116" s="23"/>
      <c r="BN116" s="24"/>
      <c r="BO116" s="23"/>
      <c r="BP116" s="23"/>
      <c r="BQ116" s="23"/>
      <c r="BR116" s="23"/>
      <c r="BS116" s="24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4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4"/>
      <c r="CS116" s="24"/>
      <c r="CT116" s="24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4"/>
      <c r="DM116" s="23"/>
      <c r="DN116" s="23"/>
      <c r="DO116" s="23"/>
      <c r="DP116" s="23"/>
      <c r="DQ116" s="23"/>
      <c r="DR116" s="24"/>
      <c r="DS116" s="24"/>
      <c r="DT116" s="24"/>
      <c r="DU116" s="23"/>
      <c r="DV116" s="23"/>
      <c r="DW116" s="23"/>
      <c r="DX116" s="23"/>
      <c r="DY116" s="23"/>
      <c r="DZ116" s="23"/>
      <c r="EA116" s="24"/>
    </row>
    <row r="117" spans="1:131">
      <c r="A117" s="24"/>
      <c r="B117" s="24"/>
      <c r="C117" s="24"/>
      <c r="D117" s="24"/>
      <c r="E117" s="24"/>
      <c r="F117" s="24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4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4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4"/>
      <c r="AW117" s="23"/>
      <c r="AX117" s="23"/>
      <c r="AY117" s="23"/>
      <c r="AZ117" s="23"/>
      <c r="BA117" s="23"/>
      <c r="BB117" s="23"/>
      <c r="BC117" s="23"/>
      <c r="BD117" s="24"/>
      <c r="BE117" s="23"/>
      <c r="BF117" s="23"/>
      <c r="BG117" s="23"/>
      <c r="BH117" s="23"/>
      <c r="BI117" s="23"/>
      <c r="BJ117" s="23"/>
      <c r="BK117" s="23"/>
      <c r="BL117" s="23"/>
      <c r="BM117" s="23"/>
      <c r="BN117" s="24"/>
      <c r="BO117" s="23"/>
      <c r="BP117" s="23"/>
      <c r="BQ117" s="23"/>
      <c r="BR117" s="23"/>
      <c r="BS117" s="24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4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4"/>
      <c r="CS117" s="24"/>
      <c r="CT117" s="24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4"/>
      <c r="DM117" s="23"/>
      <c r="DN117" s="23"/>
      <c r="DO117" s="23"/>
      <c r="DP117" s="23"/>
      <c r="DQ117" s="23"/>
      <c r="DR117" s="24"/>
      <c r="DS117" s="24"/>
      <c r="DT117" s="24"/>
      <c r="DU117" s="23"/>
      <c r="DV117" s="23"/>
      <c r="DW117" s="23"/>
      <c r="DX117" s="23"/>
      <c r="DY117" s="23"/>
      <c r="DZ117" s="23"/>
      <c r="EA117" s="24"/>
    </row>
    <row r="118" spans="1:131">
      <c r="A118" s="24"/>
      <c r="B118" s="24"/>
      <c r="C118" s="24"/>
      <c r="D118" s="24"/>
      <c r="E118" s="24"/>
      <c r="F118" s="24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4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4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4"/>
      <c r="AW118" s="23"/>
      <c r="AX118" s="23"/>
      <c r="AY118" s="23"/>
      <c r="AZ118" s="23"/>
      <c r="BA118" s="23"/>
      <c r="BB118" s="23"/>
      <c r="BC118" s="23"/>
      <c r="BD118" s="24"/>
      <c r="BE118" s="23"/>
      <c r="BF118" s="23"/>
      <c r="BG118" s="23"/>
      <c r="BH118" s="23"/>
      <c r="BI118" s="23"/>
      <c r="BJ118" s="23"/>
      <c r="BK118" s="23"/>
      <c r="BL118" s="23"/>
      <c r="BM118" s="23"/>
      <c r="BN118" s="24"/>
      <c r="BO118" s="23"/>
      <c r="BP118" s="23"/>
      <c r="BQ118" s="23"/>
      <c r="BR118" s="23"/>
      <c r="BS118" s="24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4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4"/>
      <c r="CS118" s="24"/>
      <c r="CT118" s="24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4"/>
      <c r="DM118" s="23"/>
      <c r="DN118" s="23"/>
      <c r="DO118" s="23"/>
      <c r="DP118" s="23"/>
      <c r="DQ118" s="23"/>
      <c r="DR118" s="24"/>
      <c r="DS118" s="24"/>
      <c r="DT118" s="24"/>
      <c r="DU118" s="23"/>
      <c r="DV118" s="23"/>
      <c r="DW118" s="23"/>
      <c r="DX118" s="23"/>
      <c r="DY118" s="23"/>
      <c r="DZ118" s="23"/>
      <c r="EA118" s="24"/>
    </row>
    <row r="119" spans="1:131">
      <c r="A119" s="24"/>
      <c r="B119" s="24"/>
      <c r="C119" s="24"/>
      <c r="D119" s="24"/>
      <c r="E119" s="24"/>
      <c r="F119" s="24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4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4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4"/>
      <c r="AW119" s="23"/>
      <c r="AX119" s="23"/>
      <c r="AY119" s="23"/>
      <c r="AZ119" s="23"/>
      <c r="BA119" s="23"/>
      <c r="BB119" s="23"/>
      <c r="BC119" s="23"/>
      <c r="BD119" s="24"/>
      <c r="BE119" s="23"/>
      <c r="BF119" s="23"/>
      <c r="BG119" s="23"/>
      <c r="BH119" s="23"/>
      <c r="BI119" s="23"/>
      <c r="BJ119" s="23"/>
      <c r="BK119" s="23"/>
      <c r="BL119" s="23"/>
      <c r="BM119" s="23"/>
      <c r="BN119" s="24"/>
      <c r="BO119" s="23"/>
      <c r="BP119" s="23"/>
      <c r="BQ119" s="23"/>
      <c r="BR119" s="23"/>
      <c r="BS119" s="24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4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4"/>
      <c r="CS119" s="24"/>
      <c r="CT119" s="24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4"/>
      <c r="DM119" s="23"/>
      <c r="DN119" s="23"/>
      <c r="DO119" s="23"/>
      <c r="DP119" s="23"/>
      <c r="DQ119" s="23"/>
      <c r="DR119" s="24"/>
      <c r="DS119" s="24"/>
      <c r="DT119" s="24"/>
      <c r="DU119" s="23"/>
      <c r="DV119" s="23"/>
      <c r="DW119" s="23"/>
      <c r="DX119" s="23"/>
      <c r="DY119" s="23"/>
      <c r="DZ119" s="23"/>
      <c r="EA119" s="24"/>
    </row>
    <row r="120" spans="1:131">
      <c r="A120" s="24"/>
      <c r="B120" s="24"/>
      <c r="C120" s="24"/>
      <c r="D120" s="24"/>
      <c r="E120" s="24"/>
      <c r="F120" s="24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4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4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4"/>
      <c r="AW120" s="23"/>
      <c r="AX120" s="23"/>
      <c r="AY120" s="23"/>
      <c r="AZ120" s="23"/>
      <c r="BA120" s="23"/>
      <c r="BB120" s="23"/>
      <c r="BC120" s="23"/>
      <c r="BD120" s="24"/>
      <c r="BE120" s="23"/>
      <c r="BF120" s="23"/>
      <c r="BG120" s="23"/>
      <c r="BH120" s="23"/>
      <c r="BI120" s="23"/>
      <c r="BJ120" s="23"/>
      <c r="BK120" s="23"/>
      <c r="BL120" s="23"/>
      <c r="BM120" s="23"/>
      <c r="BN120" s="24"/>
      <c r="BO120" s="23"/>
      <c r="BP120" s="23"/>
      <c r="BQ120" s="23"/>
      <c r="BR120" s="23"/>
      <c r="BS120" s="24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4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4"/>
      <c r="CS120" s="24"/>
      <c r="CT120" s="24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4"/>
      <c r="DM120" s="23"/>
      <c r="DN120" s="23"/>
      <c r="DO120" s="23"/>
      <c r="DP120" s="23"/>
      <c r="DQ120" s="23"/>
      <c r="DR120" s="24"/>
      <c r="DS120" s="24"/>
      <c r="DT120" s="24"/>
      <c r="DU120" s="23"/>
      <c r="DV120" s="23"/>
      <c r="DW120" s="23"/>
      <c r="DX120" s="23"/>
      <c r="DY120" s="23"/>
      <c r="DZ120" s="23"/>
      <c r="EA120" s="24"/>
    </row>
    <row r="121" spans="1:131">
      <c r="A121" s="24"/>
      <c r="B121" s="24"/>
      <c r="C121" s="24"/>
      <c r="D121" s="24"/>
      <c r="E121" s="24"/>
      <c r="F121" s="24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4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4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4"/>
      <c r="AW121" s="23"/>
      <c r="AX121" s="23"/>
      <c r="AY121" s="23"/>
      <c r="AZ121" s="23"/>
      <c r="BA121" s="23"/>
      <c r="BB121" s="23"/>
      <c r="BC121" s="23"/>
      <c r="BD121" s="24"/>
      <c r="BE121" s="23"/>
      <c r="BF121" s="23"/>
      <c r="BG121" s="23"/>
      <c r="BH121" s="23"/>
      <c r="BI121" s="23"/>
      <c r="BJ121" s="23"/>
      <c r="BK121" s="23"/>
      <c r="BL121" s="23"/>
      <c r="BM121" s="23"/>
      <c r="BN121" s="24"/>
      <c r="BO121" s="23"/>
      <c r="BP121" s="23"/>
      <c r="BQ121" s="23"/>
      <c r="BR121" s="23"/>
      <c r="BS121" s="24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4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4"/>
      <c r="CS121" s="24"/>
      <c r="CT121" s="24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4"/>
      <c r="DM121" s="23"/>
      <c r="DN121" s="23"/>
      <c r="DO121" s="23"/>
      <c r="DP121" s="23"/>
      <c r="DQ121" s="23"/>
      <c r="DR121" s="24"/>
      <c r="DS121" s="24"/>
      <c r="DT121" s="24"/>
      <c r="DU121" s="23"/>
      <c r="DV121" s="23"/>
      <c r="DW121" s="23"/>
      <c r="DX121" s="23"/>
      <c r="DY121" s="23"/>
      <c r="DZ121" s="23"/>
      <c r="EA121" s="24"/>
    </row>
    <row r="122" spans="1:131">
      <c r="A122" s="24"/>
      <c r="B122" s="24"/>
      <c r="C122" s="24"/>
      <c r="D122" s="24"/>
      <c r="E122" s="24"/>
      <c r="F122" s="24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4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4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4"/>
      <c r="AW122" s="23"/>
      <c r="AX122" s="23"/>
      <c r="AY122" s="23"/>
      <c r="AZ122" s="23"/>
      <c r="BA122" s="23"/>
      <c r="BB122" s="23"/>
      <c r="BC122" s="23"/>
      <c r="BD122" s="24"/>
      <c r="BE122" s="23"/>
      <c r="BF122" s="23"/>
      <c r="BG122" s="23"/>
      <c r="BH122" s="23"/>
      <c r="BI122" s="23"/>
      <c r="BJ122" s="23"/>
      <c r="BK122" s="23"/>
      <c r="BL122" s="23"/>
      <c r="BM122" s="23"/>
      <c r="BN122" s="24"/>
      <c r="BO122" s="23"/>
      <c r="BP122" s="23"/>
      <c r="BQ122" s="23"/>
      <c r="BR122" s="23"/>
      <c r="BS122" s="24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4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4"/>
      <c r="CS122" s="24"/>
      <c r="CT122" s="24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4"/>
      <c r="DM122" s="23"/>
      <c r="DN122" s="23"/>
      <c r="DO122" s="23"/>
      <c r="DP122" s="23"/>
      <c r="DQ122" s="23"/>
      <c r="DR122" s="24"/>
      <c r="DS122" s="24"/>
      <c r="DT122" s="24"/>
      <c r="DU122" s="23"/>
      <c r="DV122" s="23"/>
      <c r="DW122" s="23"/>
      <c r="DX122" s="23"/>
      <c r="DY122" s="23"/>
      <c r="DZ122" s="23"/>
      <c r="EA122" s="24"/>
    </row>
    <row r="123" spans="1:131">
      <c r="A123" s="24"/>
      <c r="B123" s="24"/>
      <c r="C123" s="24"/>
      <c r="D123" s="24"/>
      <c r="E123" s="24"/>
      <c r="F123" s="24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4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4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4"/>
      <c r="AW123" s="23"/>
      <c r="AX123" s="23"/>
      <c r="AY123" s="23"/>
      <c r="AZ123" s="23"/>
      <c r="BA123" s="23"/>
      <c r="BB123" s="23"/>
      <c r="BC123" s="23"/>
      <c r="BD123" s="24"/>
      <c r="BE123" s="23"/>
      <c r="BF123" s="23"/>
      <c r="BG123" s="23"/>
      <c r="BH123" s="23"/>
      <c r="BI123" s="23"/>
      <c r="BJ123" s="23"/>
      <c r="BK123" s="23"/>
      <c r="BL123" s="23"/>
      <c r="BM123" s="23"/>
      <c r="BN123" s="24"/>
      <c r="BO123" s="23"/>
      <c r="BP123" s="23"/>
      <c r="BQ123" s="23"/>
      <c r="BR123" s="23"/>
      <c r="BS123" s="24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4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4"/>
      <c r="CS123" s="24"/>
      <c r="CT123" s="24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4"/>
      <c r="DM123" s="23"/>
      <c r="DN123" s="23"/>
      <c r="DO123" s="23"/>
      <c r="DP123" s="23"/>
      <c r="DQ123" s="23"/>
      <c r="DR123" s="24"/>
      <c r="DS123" s="24"/>
      <c r="DT123" s="24"/>
      <c r="DU123" s="23"/>
      <c r="DV123" s="23"/>
      <c r="DW123" s="23"/>
      <c r="DX123" s="23"/>
      <c r="DY123" s="23"/>
      <c r="DZ123" s="23"/>
      <c r="EA123" s="24"/>
    </row>
    <row r="124" spans="1:131">
      <c r="A124" s="24"/>
      <c r="B124" s="24"/>
      <c r="C124" s="24"/>
      <c r="D124" s="24"/>
      <c r="E124" s="24"/>
      <c r="F124" s="24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4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4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4"/>
      <c r="AW124" s="23"/>
      <c r="AX124" s="23"/>
      <c r="AY124" s="23"/>
      <c r="AZ124" s="23"/>
      <c r="BA124" s="23"/>
      <c r="BB124" s="23"/>
      <c r="BC124" s="23"/>
      <c r="BD124" s="24"/>
      <c r="BE124" s="23"/>
      <c r="BF124" s="23"/>
      <c r="BG124" s="23"/>
      <c r="BH124" s="23"/>
      <c r="BI124" s="23"/>
      <c r="BJ124" s="23"/>
      <c r="BK124" s="23"/>
      <c r="BL124" s="23"/>
      <c r="BM124" s="23"/>
      <c r="BN124" s="24"/>
      <c r="BO124" s="23"/>
      <c r="BP124" s="23"/>
      <c r="BQ124" s="23"/>
      <c r="BR124" s="23"/>
      <c r="BS124" s="24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4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4"/>
      <c r="CS124" s="24"/>
      <c r="CT124" s="24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4"/>
      <c r="DM124" s="23"/>
      <c r="DN124" s="23"/>
      <c r="DO124" s="23"/>
      <c r="DP124" s="23"/>
      <c r="DQ124" s="23"/>
      <c r="DR124" s="24"/>
      <c r="DS124" s="24"/>
      <c r="DT124" s="24"/>
      <c r="DU124" s="23"/>
      <c r="DV124" s="23"/>
      <c r="DW124" s="23"/>
      <c r="DX124" s="23"/>
      <c r="DY124" s="23"/>
      <c r="DZ124" s="23"/>
      <c r="EA124" s="24"/>
    </row>
    <row r="125" spans="1:131">
      <c r="A125" s="24"/>
      <c r="B125" s="24"/>
      <c r="C125" s="24"/>
      <c r="D125" s="24"/>
      <c r="E125" s="24"/>
      <c r="F125" s="24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4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4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4"/>
      <c r="AW125" s="23"/>
      <c r="AX125" s="23"/>
      <c r="AY125" s="23"/>
      <c r="AZ125" s="23"/>
      <c r="BA125" s="23"/>
      <c r="BB125" s="23"/>
      <c r="BC125" s="23"/>
      <c r="BD125" s="24"/>
      <c r="BE125" s="23"/>
      <c r="BF125" s="23"/>
      <c r="BG125" s="23"/>
      <c r="BH125" s="23"/>
      <c r="BI125" s="23"/>
      <c r="BJ125" s="23"/>
      <c r="BK125" s="23"/>
      <c r="BL125" s="23"/>
      <c r="BM125" s="23"/>
      <c r="BN125" s="24"/>
      <c r="BO125" s="23"/>
      <c r="BP125" s="23"/>
      <c r="BQ125" s="23"/>
      <c r="BR125" s="23"/>
      <c r="BS125" s="24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4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4"/>
      <c r="CS125" s="24"/>
      <c r="CT125" s="24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4"/>
      <c r="DM125" s="23"/>
      <c r="DN125" s="23"/>
      <c r="DO125" s="23"/>
      <c r="DP125" s="23"/>
      <c r="DQ125" s="23"/>
      <c r="DR125" s="24"/>
      <c r="DS125" s="24"/>
      <c r="DT125" s="24"/>
      <c r="DU125" s="23"/>
      <c r="DV125" s="23"/>
      <c r="DW125" s="23"/>
      <c r="DX125" s="23"/>
      <c r="DY125" s="23"/>
      <c r="DZ125" s="23"/>
      <c r="EA125" s="24"/>
    </row>
    <row r="126" spans="1:131">
      <c r="A126" s="24"/>
      <c r="B126" s="24"/>
      <c r="C126" s="24"/>
      <c r="D126" s="24"/>
      <c r="E126" s="24"/>
      <c r="F126" s="24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4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4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4"/>
      <c r="AW126" s="23"/>
      <c r="AX126" s="23"/>
      <c r="AY126" s="23"/>
      <c r="AZ126" s="23"/>
      <c r="BA126" s="23"/>
      <c r="BB126" s="23"/>
      <c r="BC126" s="23"/>
      <c r="BD126" s="24"/>
      <c r="BE126" s="23"/>
      <c r="BF126" s="23"/>
      <c r="BG126" s="23"/>
      <c r="BH126" s="23"/>
      <c r="BI126" s="23"/>
      <c r="BJ126" s="23"/>
      <c r="BK126" s="23"/>
      <c r="BL126" s="23"/>
      <c r="BM126" s="23"/>
      <c r="BN126" s="24"/>
      <c r="BO126" s="23"/>
      <c r="BP126" s="23"/>
      <c r="BQ126" s="23"/>
      <c r="BR126" s="23"/>
      <c r="BS126" s="24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4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4"/>
      <c r="CS126" s="24"/>
      <c r="CT126" s="24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4"/>
      <c r="DM126" s="23"/>
      <c r="DN126" s="23"/>
      <c r="DO126" s="23"/>
      <c r="DP126" s="23"/>
      <c r="DQ126" s="23"/>
      <c r="DR126" s="24"/>
      <c r="DS126" s="24"/>
      <c r="DT126" s="24"/>
      <c r="DU126" s="23"/>
      <c r="DV126" s="23"/>
      <c r="DW126" s="23"/>
      <c r="DX126" s="23"/>
      <c r="DY126" s="23"/>
      <c r="DZ126" s="23"/>
      <c r="EA126" s="24"/>
    </row>
    <row r="127" spans="1:131">
      <c r="A127" s="24"/>
      <c r="B127" s="24"/>
      <c r="C127" s="24"/>
      <c r="D127" s="24"/>
      <c r="E127" s="24"/>
      <c r="F127" s="24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4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4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4"/>
      <c r="AW127" s="23"/>
      <c r="AX127" s="23"/>
      <c r="AY127" s="23"/>
      <c r="AZ127" s="23"/>
      <c r="BA127" s="23"/>
      <c r="BB127" s="23"/>
      <c r="BC127" s="23"/>
      <c r="BD127" s="24"/>
      <c r="BE127" s="23"/>
      <c r="BF127" s="23"/>
      <c r="BG127" s="23"/>
      <c r="BH127" s="23"/>
      <c r="BI127" s="23"/>
      <c r="BJ127" s="23"/>
      <c r="BK127" s="23"/>
      <c r="BL127" s="23"/>
      <c r="BM127" s="23"/>
      <c r="BN127" s="24"/>
      <c r="BO127" s="23"/>
      <c r="BP127" s="23"/>
      <c r="BQ127" s="23"/>
      <c r="BR127" s="23"/>
      <c r="BS127" s="24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4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4"/>
      <c r="CS127" s="24"/>
      <c r="CT127" s="24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4"/>
      <c r="DM127" s="23"/>
      <c r="DN127" s="23"/>
      <c r="DO127" s="23"/>
      <c r="DP127" s="23"/>
      <c r="DQ127" s="23"/>
      <c r="DR127" s="24"/>
      <c r="DS127" s="24"/>
      <c r="DT127" s="24"/>
      <c r="DU127" s="23"/>
      <c r="DV127" s="23"/>
      <c r="DW127" s="23"/>
      <c r="DX127" s="23"/>
      <c r="DY127" s="23"/>
      <c r="DZ127" s="23"/>
      <c r="EA127" s="24"/>
    </row>
    <row r="128" spans="1:131">
      <c r="A128" s="24"/>
      <c r="B128" s="24"/>
      <c r="C128" s="24"/>
      <c r="D128" s="24"/>
      <c r="E128" s="24"/>
      <c r="F128" s="24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4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4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4"/>
      <c r="AW128" s="23"/>
      <c r="AX128" s="23"/>
      <c r="AY128" s="23"/>
      <c r="AZ128" s="23"/>
      <c r="BA128" s="23"/>
      <c r="BB128" s="23"/>
      <c r="BC128" s="23"/>
      <c r="BD128" s="24"/>
      <c r="BE128" s="23"/>
      <c r="BF128" s="23"/>
      <c r="BG128" s="23"/>
      <c r="BH128" s="23"/>
      <c r="BI128" s="23"/>
      <c r="BJ128" s="23"/>
      <c r="BK128" s="23"/>
      <c r="BL128" s="23"/>
      <c r="BM128" s="23"/>
      <c r="BN128" s="24"/>
      <c r="BO128" s="23"/>
      <c r="BP128" s="23"/>
      <c r="BQ128" s="23"/>
      <c r="BR128" s="23"/>
      <c r="BS128" s="24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4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4"/>
      <c r="CS128" s="24"/>
      <c r="CT128" s="24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4"/>
      <c r="DM128" s="23"/>
      <c r="DN128" s="23"/>
      <c r="DO128" s="23"/>
      <c r="DP128" s="23"/>
      <c r="DQ128" s="23"/>
      <c r="DR128" s="24"/>
      <c r="DS128" s="24"/>
      <c r="DT128" s="24"/>
      <c r="DU128" s="23"/>
      <c r="DV128" s="23"/>
      <c r="DW128" s="23"/>
      <c r="DX128" s="23"/>
      <c r="DY128" s="23"/>
      <c r="DZ128" s="23"/>
      <c r="EA128" s="24"/>
    </row>
    <row r="129" spans="1:131">
      <c r="A129" s="24"/>
      <c r="B129" s="24"/>
      <c r="C129" s="24"/>
      <c r="D129" s="24"/>
      <c r="E129" s="24"/>
      <c r="F129" s="24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4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4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4"/>
      <c r="AW129" s="23"/>
      <c r="AX129" s="23"/>
      <c r="AY129" s="23"/>
      <c r="AZ129" s="23"/>
      <c r="BA129" s="23"/>
      <c r="BB129" s="23"/>
      <c r="BC129" s="23"/>
      <c r="BD129" s="24"/>
      <c r="BE129" s="23"/>
      <c r="BF129" s="23"/>
      <c r="BG129" s="23"/>
      <c r="BH129" s="23"/>
      <c r="BI129" s="23"/>
      <c r="BJ129" s="23"/>
      <c r="BK129" s="23"/>
      <c r="BL129" s="23"/>
      <c r="BM129" s="23"/>
      <c r="BN129" s="24"/>
      <c r="BO129" s="23"/>
      <c r="BP129" s="23"/>
      <c r="BQ129" s="23"/>
      <c r="BR129" s="23"/>
      <c r="BS129" s="24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4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4"/>
      <c r="CS129" s="24"/>
      <c r="CT129" s="24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4"/>
      <c r="DM129" s="23"/>
      <c r="DN129" s="23"/>
      <c r="DO129" s="23"/>
      <c r="DP129" s="23"/>
      <c r="DQ129" s="23"/>
      <c r="DR129" s="24"/>
      <c r="DS129" s="24"/>
      <c r="DT129" s="24"/>
      <c r="DU129" s="23"/>
      <c r="DV129" s="23"/>
      <c r="DW129" s="23"/>
      <c r="DX129" s="23"/>
      <c r="DY129" s="23"/>
      <c r="DZ129" s="23"/>
      <c r="EA129" s="24"/>
    </row>
    <row r="130" spans="1:131">
      <c r="A130" s="24"/>
      <c r="B130" s="24"/>
      <c r="C130" s="24"/>
      <c r="D130" s="24"/>
      <c r="E130" s="24"/>
      <c r="F130" s="24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4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4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4"/>
      <c r="AW130" s="23"/>
      <c r="AX130" s="23"/>
      <c r="AY130" s="23"/>
      <c r="AZ130" s="23"/>
      <c r="BA130" s="23"/>
      <c r="BB130" s="23"/>
      <c r="BC130" s="23"/>
      <c r="BD130" s="24"/>
      <c r="BE130" s="23"/>
      <c r="BF130" s="23"/>
      <c r="BG130" s="23"/>
      <c r="BH130" s="23"/>
      <c r="BI130" s="23"/>
      <c r="BJ130" s="23"/>
      <c r="BK130" s="23"/>
      <c r="BL130" s="23"/>
      <c r="BM130" s="23"/>
      <c r="BN130" s="24"/>
      <c r="BO130" s="23"/>
      <c r="BP130" s="23"/>
      <c r="BQ130" s="23"/>
      <c r="BR130" s="23"/>
      <c r="BS130" s="24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4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4"/>
      <c r="CS130" s="24"/>
      <c r="CT130" s="24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4"/>
      <c r="DM130" s="23"/>
      <c r="DN130" s="23"/>
      <c r="DO130" s="23"/>
      <c r="DP130" s="23"/>
      <c r="DQ130" s="23"/>
      <c r="DR130" s="24"/>
      <c r="DS130" s="24"/>
      <c r="DT130" s="24"/>
      <c r="DU130" s="23"/>
      <c r="DV130" s="23"/>
      <c r="DW130" s="23"/>
      <c r="DX130" s="23"/>
      <c r="DY130" s="23"/>
      <c r="DZ130" s="23"/>
      <c r="EA130" s="24"/>
    </row>
    <row r="131" spans="1:131">
      <c r="A131" s="24"/>
      <c r="B131" s="24"/>
      <c r="C131" s="24"/>
      <c r="D131" s="24"/>
      <c r="E131" s="24"/>
      <c r="F131" s="24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4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4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4"/>
      <c r="AW131" s="23"/>
      <c r="AX131" s="23"/>
      <c r="AY131" s="23"/>
      <c r="AZ131" s="23"/>
      <c r="BA131" s="23"/>
      <c r="BB131" s="23"/>
      <c r="BC131" s="23"/>
      <c r="BD131" s="24"/>
      <c r="BE131" s="23"/>
      <c r="BF131" s="23"/>
      <c r="BG131" s="23"/>
      <c r="BH131" s="23"/>
      <c r="BI131" s="23"/>
      <c r="BJ131" s="23"/>
      <c r="BK131" s="23"/>
      <c r="BL131" s="23"/>
      <c r="BM131" s="23"/>
      <c r="BN131" s="24"/>
      <c r="BO131" s="23"/>
      <c r="BP131" s="23"/>
      <c r="BQ131" s="23"/>
      <c r="BR131" s="23"/>
      <c r="BS131" s="24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4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4"/>
      <c r="CS131" s="24"/>
      <c r="CT131" s="24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4"/>
      <c r="DM131" s="23"/>
      <c r="DN131" s="23"/>
      <c r="DO131" s="23"/>
      <c r="DP131" s="23"/>
      <c r="DQ131" s="23"/>
      <c r="DR131" s="24"/>
      <c r="DS131" s="24"/>
      <c r="DT131" s="24"/>
      <c r="DU131" s="23"/>
      <c r="DV131" s="23"/>
      <c r="DW131" s="23"/>
      <c r="DX131" s="23"/>
      <c r="DY131" s="23"/>
      <c r="DZ131" s="23"/>
      <c r="EA131" s="24"/>
    </row>
    <row r="132" spans="1:131">
      <c r="A132" s="24"/>
      <c r="B132" s="24"/>
      <c r="C132" s="24"/>
      <c r="D132" s="24"/>
      <c r="E132" s="24"/>
      <c r="F132" s="24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4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4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4"/>
      <c r="AW132" s="23"/>
      <c r="AX132" s="23"/>
      <c r="AY132" s="23"/>
      <c r="AZ132" s="23"/>
      <c r="BA132" s="23"/>
      <c r="BB132" s="23"/>
      <c r="BC132" s="23"/>
      <c r="BD132" s="24"/>
      <c r="BE132" s="23"/>
      <c r="BF132" s="23"/>
      <c r="BG132" s="23"/>
      <c r="BH132" s="23"/>
      <c r="BI132" s="23"/>
      <c r="BJ132" s="23"/>
      <c r="BK132" s="23"/>
      <c r="BL132" s="23"/>
      <c r="BM132" s="23"/>
      <c r="BN132" s="24"/>
      <c r="BO132" s="23"/>
      <c r="BP132" s="23"/>
      <c r="BQ132" s="23"/>
      <c r="BR132" s="23"/>
      <c r="BS132" s="24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4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4"/>
      <c r="CS132" s="24"/>
      <c r="CT132" s="24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4"/>
      <c r="DM132" s="23"/>
      <c r="DN132" s="23"/>
      <c r="DO132" s="23"/>
      <c r="DP132" s="23"/>
      <c r="DQ132" s="23"/>
      <c r="DR132" s="24"/>
      <c r="DS132" s="24"/>
      <c r="DT132" s="24"/>
      <c r="DU132" s="23"/>
      <c r="DV132" s="23"/>
      <c r="DW132" s="23"/>
      <c r="DX132" s="23"/>
      <c r="DY132" s="23"/>
      <c r="DZ132" s="23"/>
      <c r="EA132" s="24"/>
    </row>
    <row r="133" spans="1:131">
      <c r="A133" s="24"/>
      <c r="B133" s="24"/>
      <c r="C133" s="24"/>
      <c r="D133" s="24"/>
      <c r="E133" s="24"/>
      <c r="F133" s="24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4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4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4"/>
      <c r="AW133" s="23"/>
      <c r="AX133" s="23"/>
      <c r="AY133" s="23"/>
      <c r="AZ133" s="23"/>
      <c r="BA133" s="23"/>
      <c r="BB133" s="23"/>
      <c r="BC133" s="23"/>
      <c r="BD133" s="24"/>
      <c r="BE133" s="23"/>
      <c r="BF133" s="23"/>
      <c r="BG133" s="23"/>
      <c r="BH133" s="23"/>
      <c r="BI133" s="23"/>
      <c r="BJ133" s="23"/>
      <c r="BK133" s="23"/>
      <c r="BL133" s="23"/>
      <c r="BM133" s="23"/>
      <c r="BN133" s="24"/>
      <c r="BO133" s="23"/>
      <c r="BP133" s="23"/>
      <c r="BQ133" s="23"/>
      <c r="BR133" s="23"/>
      <c r="BS133" s="24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4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4"/>
      <c r="CS133" s="24"/>
      <c r="CT133" s="24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4"/>
      <c r="DM133" s="23"/>
      <c r="DN133" s="23"/>
      <c r="DO133" s="23"/>
      <c r="DP133" s="23"/>
      <c r="DQ133" s="23"/>
      <c r="DR133" s="24"/>
      <c r="DS133" s="24"/>
      <c r="DT133" s="24"/>
      <c r="DU133" s="23"/>
      <c r="DV133" s="23"/>
      <c r="DW133" s="23"/>
      <c r="DX133" s="23"/>
      <c r="DY133" s="23"/>
      <c r="DZ133" s="23"/>
      <c r="EA133" s="24"/>
    </row>
    <row r="134" spans="1:131">
      <c r="A134" s="24"/>
      <c r="B134" s="24"/>
      <c r="C134" s="24"/>
      <c r="D134" s="24"/>
      <c r="E134" s="24"/>
      <c r="F134" s="24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4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4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4"/>
      <c r="AW134" s="23"/>
      <c r="AX134" s="23"/>
      <c r="AY134" s="23"/>
      <c r="AZ134" s="23"/>
      <c r="BA134" s="23"/>
      <c r="BB134" s="23"/>
      <c r="BC134" s="23"/>
      <c r="BD134" s="24"/>
      <c r="BE134" s="23"/>
      <c r="BF134" s="23"/>
      <c r="BG134" s="23"/>
      <c r="BH134" s="23"/>
      <c r="BI134" s="23"/>
      <c r="BJ134" s="23"/>
      <c r="BK134" s="23"/>
      <c r="BL134" s="23"/>
      <c r="BM134" s="23"/>
      <c r="BN134" s="24"/>
      <c r="BO134" s="23"/>
      <c r="BP134" s="23"/>
      <c r="BQ134" s="23"/>
      <c r="BR134" s="23"/>
      <c r="BS134" s="24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4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4"/>
      <c r="CS134" s="24"/>
      <c r="CT134" s="24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4"/>
      <c r="DM134" s="23"/>
      <c r="DN134" s="23"/>
      <c r="DO134" s="23"/>
      <c r="DP134" s="23"/>
      <c r="DQ134" s="23"/>
      <c r="DR134" s="24"/>
      <c r="DS134" s="24"/>
      <c r="DT134" s="24"/>
      <c r="DU134" s="23"/>
      <c r="DV134" s="23"/>
      <c r="DW134" s="23"/>
      <c r="DX134" s="23"/>
      <c r="DY134" s="23"/>
      <c r="DZ134" s="23"/>
      <c r="EA134" s="24"/>
    </row>
    <row r="135" spans="1:131">
      <c r="A135" s="24"/>
      <c r="B135" s="24"/>
      <c r="C135" s="24"/>
      <c r="D135" s="24"/>
      <c r="E135" s="24"/>
      <c r="F135" s="24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4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4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4"/>
      <c r="AW135" s="23"/>
      <c r="AX135" s="23"/>
      <c r="AY135" s="23"/>
      <c r="AZ135" s="23"/>
      <c r="BA135" s="23"/>
      <c r="BB135" s="23"/>
      <c r="BC135" s="23"/>
      <c r="BD135" s="24"/>
      <c r="BE135" s="23"/>
      <c r="BF135" s="23"/>
      <c r="BG135" s="23"/>
      <c r="BH135" s="23"/>
      <c r="BI135" s="23"/>
      <c r="BJ135" s="23"/>
      <c r="BK135" s="23"/>
      <c r="BL135" s="23"/>
      <c r="BM135" s="23"/>
      <c r="BN135" s="24"/>
      <c r="BO135" s="23"/>
      <c r="BP135" s="23"/>
      <c r="BQ135" s="23"/>
      <c r="BR135" s="23"/>
      <c r="BS135" s="24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4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4"/>
      <c r="CS135" s="24"/>
      <c r="CT135" s="24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4"/>
      <c r="DM135" s="23"/>
      <c r="DN135" s="23"/>
      <c r="DO135" s="23"/>
      <c r="DP135" s="23"/>
      <c r="DQ135" s="23"/>
      <c r="DR135" s="24"/>
      <c r="DS135" s="24"/>
      <c r="DT135" s="24"/>
      <c r="DU135" s="23"/>
      <c r="DV135" s="23"/>
      <c r="DW135" s="23"/>
      <c r="DX135" s="23"/>
      <c r="DY135" s="23"/>
      <c r="DZ135" s="23"/>
      <c r="EA135" s="24"/>
    </row>
    <row r="136" spans="1:131">
      <c r="A136" s="24"/>
      <c r="B136" s="24"/>
      <c r="C136" s="24"/>
      <c r="D136" s="24"/>
      <c r="E136" s="24"/>
      <c r="F136" s="24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4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4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4"/>
      <c r="AW136" s="23"/>
      <c r="AX136" s="23"/>
      <c r="AY136" s="23"/>
      <c r="AZ136" s="23"/>
      <c r="BA136" s="23"/>
      <c r="BB136" s="23"/>
      <c r="BC136" s="23"/>
      <c r="BD136" s="24"/>
      <c r="BE136" s="23"/>
      <c r="BF136" s="23"/>
      <c r="BG136" s="23"/>
      <c r="BH136" s="23"/>
      <c r="BI136" s="23"/>
      <c r="BJ136" s="23"/>
      <c r="BK136" s="23"/>
      <c r="BL136" s="23"/>
      <c r="BM136" s="23"/>
      <c r="BN136" s="24"/>
      <c r="BO136" s="23"/>
      <c r="BP136" s="23"/>
      <c r="BQ136" s="23"/>
      <c r="BR136" s="23"/>
      <c r="BS136" s="24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4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4"/>
      <c r="CS136" s="24"/>
      <c r="CT136" s="24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4"/>
      <c r="DM136" s="23"/>
      <c r="DN136" s="23"/>
      <c r="DO136" s="23"/>
      <c r="DP136" s="23"/>
      <c r="DQ136" s="23"/>
      <c r="DR136" s="24"/>
      <c r="DS136" s="24"/>
      <c r="DT136" s="24"/>
      <c r="DU136" s="23"/>
      <c r="DV136" s="23"/>
      <c r="DW136" s="23"/>
      <c r="DX136" s="23"/>
      <c r="DY136" s="23"/>
      <c r="DZ136" s="23"/>
      <c r="EA136" s="24"/>
    </row>
    <row r="137" spans="1:131">
      <c r="A137" s="24"/>
      <c r="B137" s="24"/>
      <c r="C137" s="24"/>
      <c r="D137" s="24"/>
      <c r="E137" s="24"/>
      <c r="F137" s="24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4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4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4"/>
      <c r="AW137" s="23"/>
      <c r="AX137" s="23"/>
      <c r="AY137" s="23"/>
      <c r="AZ137" s="23"/>
      <c r="BA137" s="23"/>
      <c r="BB137" s="23"/>
      <c r="BC137" s="23"/>
      <c r="BD137" s="24"/>
      <c r="BE137" s="23"/>
      <c r="BF137" s="23"/>
      <c r="BG137" s="23"/>
      <c r="BH137" s="23"/>
      <c r="BI137" s="23"/>
      <c r="BJ137" s="23"/>
      <c r="BK137" s="23"/>
      <c r="BL137" s="23"/>
      <c r="BM137" s="23"/>
      <c r="BN137" s="24"/>
      <c r="BO137" s="23"/>
      <c r="BP137" s="23"/>
      <c r="BQ137" s="23"/>
      <c r="BR137" s="23"/>
      <c r="BS137" s="24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4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4"/>
      <c r="CS137" s="24"/>
      <c r="CT137" s="24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4"/>
      <c r="DM137" s="23"/>
      <c r="DN137" s="23"/>
      <c r="DO137" s="23"/>
      <c r="DP137" s="23"/>
      <c r="DQ137" s="23"/>
      <c r="DR137" s="24"/>
      <c r="DS137" s="24"/>
      <c r="DT137" s="24"/>
      <c r="DU137" s="23"/>
      <c r="DV137" s="23"/>
      <c r="DW137" s="23"/>
      <c r="DX137" s="23"/>
      <c r="DY137" s="23"/>
      <c r="DZ137" s="23"/>
      <c r="EA137" s="24"/>
    </row>
    <row r="138" spans="1:131">
      <c r="A138" s="24"/>
      <c r="B138" s="24"/>
      <c r="C138" s="24"/>
      <c r="D138" s="24"/>
      <c r="E138" s="24"/>
      <c r="F138" s="24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4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4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4"/>
      <c r="AW138" s="23"/>
      <c r="AX138" s="23"/>
      <c r="AY138" s="23"/>
      <c r="AZ138" s="23"/>
      <c r="BA138" s="23"/>
      <c r="BB138" s="23"/>
      <c r="BC138" s="23"/>
      <c r="BD138" s="24"/>
      <c r="BE138" s="23"/>
      <c r="BF138" s="23"/>
      <c r="BG138" s="23"/>
      <c r="BH138" s="23"/>
      <c r="BI138" s="23"/>
      <c r="BJ138" s="23"/>
      <c r="BK138" s="23"/>
      <c r="BL138" s="23"/>
      <c r="BM138" s="23"/>
      <c r="BN138" s="24"/>
      <c r="BO138" s="23"/>
      <c r="BP138" s="23"/>
      <c r="BQ138" s="23"/>
      <c r="BR138" s="23"/>
      <c r="BS138" s="24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4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4"/>
      <c r="CS138" s="24"/>
      <c r="CT138" s="24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4"/>
      <c r="DM138" s="23"/>
      <c r="DN138" s="23"/>
      <c r="DO138" s="23"/>
      <c r="DP138" s="23"/>
      <c r="DQ138" s="23"/>
      <c r="DR138" s="24"/>
      <c r="DS138" s="24"/>
      <c r="DT138" s="24"/>
      <c r="DU138" s="23"/>
      <c r="DV138" s="23"/>
      <c r="DW138" s="23"/>
      <c r="DX138" s="23"/>
      <c r="DY138" s="23"/>
      <c r="DZ138" s="23"/>
      <c r="EA138" s="24"/>
    </row>
    <row r="139" spans="1:131">
      <c r="A139" s="24"/>
      <c r="B139" s="24"/>
      <c r="C139" s="24"/>
      <c r="D139" s="24"/>
      <c r="E139" s="24"/>
      <c r="F139" s="24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4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4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4"/>
      <c r="AW139" s="23"/>
      <c r="AX139" s="23"/>
      <c r="AY139" s="23"/>
      <c r="AZ139" s="23"/>
      <c r="BA139" s="23"/>
      <c r="BB139" s="23"/>
      <c r="BC139" s="23"/>
      <c r="BD139" s="24"/>
      <c r="BE139" s="23"/>
      <c r="BF139" s="23"/>
      <c r="BG139" s="23"/>
      <c r="BH139" s="23"/>
      <c r="BI139" s="23"/>
      <c r="BJ139" s="23"/>
      <c r="BK139" s="23"/>
      <c r="BL139" s="23"/>
      <c r="BM139" s="23"/>
      <c r="BN139" s="24"/>
      <c r="BO139" s="23"/>
      <c r="BP139" s="23"/>
      <c r="BQ139" s="23"/>
      <c r="BR139" s="23"/>
      <c r="BS139" s="24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4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4"/>
      <c r="CS139" s="24"/>
      <c r="CT139" s="24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4"/>
      <c r="DM139" s="23"/>
      <c r="DN139" s="23"/>
      <c r="DO139" s="23"/>
      <c r="DP139" s="23"/>
      <c r="DQ139" s="23"/>
      <c r="DR139" s="24"/>
      <c r="DS139" s="24"/>
      <c r="DT139" s="24"/>
      <c r="DU139" s="23"/>
      <c r="DV139" s="23"/>
      <c r="DW139" s="23"/>
      <c r="DX139" s="23"/>
      <c r="DY139" s="23"/>
      <c r="DZ139" s="23"/>
      <c r="EA139" s="24"/>
    </row>
    <row r="140" spans="1:131">
      <c r="A140" s="24"/>
      <c r="B140" s="24"/>
      <c r="C140" s="24"/>
      <c r="D140" s="24"/>
      <c r="E140" s="24"/>
      <c r="F140" s="24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4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4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4"/>
      <c r="AW140" s="23"/>
      <c r="AX140" s="23"/>
      <c r="AY140" s="23"/>
      <c r="AZ140" s="23"/>
      <c r="BA140" s="23"/>
      <c r="BB140" s="23"/>
      <c r="BC140" s="23"/>
      <c r="BD140" s="24"/>
      <c r="BE140" s="23"/>
      <c r="BF140" s="23"/>
      <c r="BG140" s="23"/>
      <c r="BH140" s="23"/>
      <c r="BI140" s="23"/>
      <c r="BJ140" s="23"/>
      <c r="BK140" s="23"/>
      <c r="BL140" s="23"/>
      <c r="BM140" s="23"/>
      <c r="BN140" s="24"/>
      <c r="BO140" s="23"/>
      <c r="BP140" s="23"/>
      <c r="BQ140" s="23"/>
      <c r="BR140" s="23"/>
      <c r="BS140" s="24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4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4"/>
      <c r="CS140" s="24"/>
      <c r="CT140" s="24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4"/>
      <c r="DM140" s="23"/>
      <c r="DN140" s="23"/>
      <c r="DO140" s="23"/>
      <c r="DP140" s="23"/>
      <c r="DQ140" s="23"/>
      <c r="DR140" s="24"/>
      <c r="DS140" s="24"/>
      <c r="DT140" s="24"/>
      <c r="DU140" s="23"/>
      <c r="DV140" s="23"/>
      <c r="DW140" s="23"/>
      <c r="DX140" s="23"/>
      <c r="DY140" s="23"/>
      <c r="DZ140" s="23"/>
      <c r="EA140" s="24"/>
    </row>
    <row r="141" spans="1:131">
      <c r="A141" s="24"/>
      <c r="B141" s="24"/>
      <c r="C141" s="24"/>
      <c r="D141" s="24"/>
      <c r="E141" s="24"/>
      <c r="F141" s="24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4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4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4"/>
      <c r="AW141" s="23"/>
      <c r="AX141" s="23"/>
      <c r="AY141" s="23"/>
      <c r="AZ141" s="23"/>
      <c r="BA141" s="23"/>
      <c r="BB141" s="23"/>
      <c r="BC141" s="23"/>
      <c r="BD141" s="24"/>
      <c r="BE141" s="23"/>
      <c r="BF141" s="23"/>
      <c r="BG141" s="23"/>
      <c r="BH141" s="23"/>
      <c r="BI141" s="23"/>
      <c r="BJ141" s="23"/>
      <c r="BK141" s="23"/>
      <c r="BL141" s="23"/>
      <c r="BM141" s="23"/>
      <c r="BN141" s="24"/>
      <c r="BO141" s="23"/>
      <c r="BP141" s="23"/>
      <c r="BQ141" s="23"/>
      <c r="BR141" s="23"/>
      <c r="BS141" s="24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4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4"/>
      <c r="CS141" s="24"/>
      <c r="CT141" s="24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4"/>
      <c r="DM141" s="23"/>
      <c r="DN141" s="23"/>
      <c r="DO141" s="23"/>
      <c r="DP141" s="23"/>
      <c r="DQ141" s="23"/>
      <c r="DR141" s="24"/>
      <c r="DS141" s="24"/>
      <c r="DT141" s="24"/>
      <c r="DU141" s="23"/>
      <c r="DV141" s="23"/>
      <c r="DW141" s="23"/>
      <c r="DX141" s="23"/>
      <c r="DY141" s="23"/>
      <c r="DZ141" s="23"/>
      <c r="EA141" s="24"/>
    </row>
    <row r="142" spans="1:131">
      <c r="A142" s="24"/>
      <c r="B142" s="24"/>
      <c r="C142" s="24"/>
      <c r="D142" s="24"/>
      <c r="E142" s="24"/>
      <c r="F142" s="24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4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4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4"/>
      <c r="AW142" s="23"/>
      <c r="AX142" s="23"/>
      <c r="AY142" s="23"/>
      <c r="AZ142" s="23"/>
      <c r="BA142" s="23"/>
      <c r="BB142" s="23"/>
      <c r="BC142" s="23"/>
      <c r="BD142" s="24"/>
      <c r="BE142" s="23"/>
      <c r="BF142" s="23"/>
      <c r="BG142" s="23"/>
      <c r="BH142" s="23"/>
      <c r="BI142" s="23"/>
      <c r="BJ142" s="23"/>
      <c r="BK142" s="23"/>
      <c r="BL142" s="23"/>
      <c r="BM142" s="23"/>
      <c r="BN142" s="24"/>
      <c r="BO142" s="23"/>
      <c r="BP142" s="23"/>
      <c r="BQ142" s="23"/>
      <c r="BR142" s="23"/>
      <c r="BS142" s="24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4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4"/>
      <c r="CS142" s="24"/>
      <c r="CT142" s="24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4"/>
      <c r="DM142" s="23"/>
      <c r="DN142" s="23"/>
      <c r="DO142" s="23"/>
      <c r="DP142" s="23"/>
      <c r="DQ142" s="23"/>
      <c r="DR142" s="24"/>
      <c r="DS142" s="24"/>
      <c r="DT142" s="24"/>
      <c r="DU142" s="23"/>
      <c r="DV142" s="23"/>
      <c r="DW142" s="23"/>
      <c r="DX142" s="23"/>
      <c r="DY142" s="23"/>
      <c r="DZ142" s="23"/>
      <c r="EA142" s="24"/>
    </row>
    <row r="143" spans="1:131">
      <c r="A143" s="24"/>
      <c r="B143" s="24"/>
      <c r="C143" s="24"/>
      <c r="D143" s="24"/>
      <c r="E143" s="24"/>
      <c r="F143" s="24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4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4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4"/>
      <c r="AW143" s="23"/>
      <c r="AX143" s="23"/>
      <c r="AY143" s="23"/>
      <c r="AZ143" s="23"/>
      <c r="BA143" s="23"/>
      <c r="BB143" s="23"/>
      <c r="BC143" s="23"/>
      <c r="BD143" s="24"/>
      <c r="BE143" s="23"/>
      <c r="BF143" s="23"/>
      <c r="BG143" s="23"/>
      <c r="BH143" s="23"/>
      <c r="BI143" s="23"/>
      <c r="BJ143" s="23"/>
      <c r="BK143" s="23"/>
      <c r="BL143" s="23"/>
      <c r="BM143" s="23"/>
      <c r="BN143" s="24"/>
      <c r="BO143" s="23"/>
      <c r="BP143" s="23"/>
      <c r="BQ143" s="23"/>
      <c r="BR143" s="23"/>
      <c r="BS143" s="24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4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4"/>
      <c r="CS143" s="24"/>
      <c r="CT143" s="24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4"/>
      <c r="DM143" s="23"/>
      <c r="DN143" s="23"/>
      <c r="DO143" s="23"/>
      <c r="DP143" s="23"/>
      <c r="DQ143" s="23"/>
      <c r="DR143" s="24"/>
      <c r="DS143" s="24"/>
      <c r="DT143" s="24"/>
      <c r="DU143" s="23"/>
      <c r="DV143" s="23"/>
      <c r="DW143" s="23"/>
      <c r="DX143" s="23"/>
      <c r="DY143" s="23"/>
      <c r="DZ143" s="23"/>
      <c r="EA143" s="24"/>
    </row>
    <row r="144" spans="1:131">
      <c r="A144" s="24"/>
      <c r="B144" s="24"/>
      <c r="C144" s="24"/>
      <c r="D144" s="24"/>
      <c r="E144" s="24"/>
      <c r="F144" s="24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4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4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4"/>
      <c r="AW144" s="23"/>
      <c r="AX144" s="23"/>
      <c r="AY144" s="23"/>
      <c r="AZ144" s="23"/>
      <c r="BA144" s="23"/>
      <c r="BB144" s="23"/>
      <c r="BC144" s="23"/>
      <c r="BD144" s="24"/>
      <c r="BE144" s="23"/>
      <c r="BF144" s="23"/>
      <c r="BG144" s="23"/>
      <c r="BH144" s="23"/>
      <c r="BI144" s="23"/>
      <c r="BJ144" s="23"/>
      <c r="BK144" s="23"/>
      <c r="BL144" s="23"/>
      <c r="BM144" s="23"/>
      <c r="BN144" s="24"/>
      <c r="BO144" s="23"/>
      <c r="BP144" s="23"/>
      <c r="BQ144" s="23"/>
      <c r="BR144" s="23"/>
      <c r="BS144" s="24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4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4"/>
      <c r="CS144" s="24"/>
      <c r="CT144" s="24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4"/>
      <c r="DM144" s="23"/>
      <c r="DN144" s="23"/>
      <c r="DO144" s="23"/>
      <c r="DP144" s="23"/>
      <c r="DQ144" s="23"/>
      <c r="DR144" s="24"/>
      <c r="DS144" s="24"/>
      <c r="DT144" s="24"/>
      <c r="DU144" s="23"/>
      <c r="DV144" s="23"/>
      <c r="DW144" s="23"/>
      <c r="DX144" s="23"/>
      <c r="DY144" s="23"/>
      <c r="DZ144" s="23"/>
      <c r="EA144" s="24"/>
    </row>
    <row r="145" spans="1:131">
      <c r="A145" s="24"/>
      <c r="B145" s="24"/>
      <c r="C145" s="24"/>
      <c r="D145" s="24"/>
      <c r="E145" s="24"/>
      <c r="F145" s="24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4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4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4"/>
      <c r="AW145" s="23"/>
      <c r="AX145" s="23"/>
      <c r="AY145" s="23"/>
      <c r="AZ145" s="23"/>
      <c r="BA145" s="23"/>
      <c r="BB145" s="23"/>
      <c r="BC145" s="23"/>
      <c r="BD145" s="24"/>
      <c r="BE145" s="23"/>
      <c r="BF145" s="23"/>
      <c r="BG145" s="23"/>
      <c r="BH145" s="23"/>
      <c r="BI145" s="23"/>
      <c r="BJ145" s="23"/>
      <c r="BK145" s="23"/>
      <c r="BL145" s="23"/>
      <c r="BM145" s="23"/>
      <c r="BN145" s="24"/>
      <c r="BO145" s="23"/>
      <c r="BP145" s="23"/>
      <c r="BQ145" s="23"/>
      <c r="BR145" s="23"/>
      <c r="BS145" s="24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4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4"/>
      <c r="CS145" s="24"/>
      <c r="CT145" s="24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4"/>
      <c r="DM145" s="23"/>
      <c r="DN145" s="23"/>
      <c r="DO145" s="23"/>
      <c r="DP145" s="23"/>
      <c r="DQ145" s="23"/>
      <c r="DR145" s="24"/>
      <c r="DS145" s="24"/>
      <c r="DT145" s="24"/>
      <c r="DU145" s="23"/>
      <c r="DV145" s="23"/>
      <c r="DW145" s="23"/>
      <c r="DX145" s="23"/>
      <c r="DY145" s="23"/>
      <c r="DZ145" s="23"/>
      <c r="EA145" s="24"/>
    </row>
    <row r="146" spans="1:131">
      <c r="A146" s="24"/>
      <c r="B146" s="24"/>
      <c r="C146" s="24"/>
      <c r="D146" s="24"/>
      <c r="E146" s="24"/>
      <c r="F146" s="24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4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4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4"/>
      <c r="AW146" s="23"/>
      <c r="AX146" s="23"/>
      <c r="AY146" s="23"/>
      <c r="AZ146" s="23"/>
      <c r="BA146" s="23"/>
      <c r="BB146" s="23"/>
      <c r="BC146" s="23"/>
      <c r="BD146" s="24"/>
      <c r="BE146" s="23"/>
      <c r="BF146" s="23"/>
      <c r="BG146" s="23"/>
      <c r="BH146" s="23"/>
      <c r="BI146" s="23"/>
      <c r="BJ146" s="23"/>
      <c r="BK146" s="23"/>
      <c r="BL146" s="23"/>
      <c r="BM146" s="23"/>
      <c r="BN146" s="24"/>
      <c r="BO146" s="23"/>
      <c r="BP146" s="23"/>
      <c r="BQ146" s="23"/>
      <c r="BR146" s="23"/>
      <c r="BS146" s="24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4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4"/>
      <c r="CS146" s="24"/>
      <c r="CT146" s="24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4"/>
      <c r="DM146" s="23"/>
      <c r="DN146" s="23"/>
      <c r="DO146" s="23"/>
      <c r="DP146" s="23"/>
      <c r="DQ146" s="23"/>
      <c r="DR146" s="24"/>
      <c r="DS146" s="24"/>
      <c r="DT146" s="24"/>
      <c r="DU146" s="23"/>
      <c r="DV146" s="23"/>
      <c r="DW146" s="23"/>
      <c r="DX146" s="23"/>
      <c r="DY146" s="23"/>
      <c r="DZ146" s="23"/>
      <c r="EA146" s="24"/>
    </row>
    <row r="147" spans="1:131">
      <c r="A147" s="24"/>
      <c r="B147" s="24"/>
      <c r="C147" s="24"/>
      <c r="D147" s="24"/>
      <c r="E147" s="24"/>
      <c r="F147" s="24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4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4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4"/>
      <c r="AW147" s="23"/>
      <c r="AX147" s="23"/>
      <c r="AY147" s="23"/>
      <c r="AZ147" s="23"/>
      <c r="BA147" s="23"/>
      <c r="BB147" s="23"/>
      <c r="BC147" s="23"/>
      <c r="BD147" s="24"/>
      <c r="BE147" s="23"/>
      <c r="BF147" s="23"/>
      <c r="BG147" s="23"/>
      <c r="BH147" s="23"/>
      <c r="BI147" s="23"/>
      <c r="BJ147" s="23"/>
      <c r="BK147" s="23"/>
      <c r="BL147" s="23"/>
      <c r="BM147" s="23"/>
      <c r="BN147" s="24"/>
      <c r="BO147" s="23"/>
      <c r="BP147" s="23"/>
      <c r="BQ147" s="23"/>
      <c r="BR147" s="23"/>
      <c r="BS147" s="24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4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4"/>
      <c r="CS147" s="24"/>
      <c r="CT147" s="24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4"/>
      <c r="DM147" s="23"/>
      <c r="DN147" s="23"/>
      <c r="DO147" s="23"/>
      <c r="DP147" s="23"/>
      <c r="DQ147" s="23"/>
      <c r="DR147" s="24"/>
      <c r="DS147" s="24"/>
      <c r="DT147" s="24"/>
      <c r="DU147" s="23"/>
      <c r="DV147" s="23"/>
      <c r="DW147" s="23"/>
      <c r="DX147" s="23"/>
      <c r="DY147" s="23"/>
      <c r="DZ147" s="23"/>
      <c r="EA147" s="24"/>
    </row>
    <row r="148" spans="1:131">
      <c r="A148" s="24"/>
      <c r="B148" s="24"/>
      <c r="C148" s="24"/>
      <c r="D148" s="24"/>
      <c r="E148" s="24"/>
      <c r="F148" s="24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4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4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4"/>
      <c r="AW148" s="23"/>
      <c r="AX148" s="23"/>
      <c r="AY148" s="23"/>
      <c r="AZ148" s="23"/>
      <c r="BA148" s="23"/>
      <c r="BB148" s="23"/>
      <c r="BC148" s="23"/>
      <c r="BD148" s="24"/>
      <c r="BE148" s="23"/>
      <c r="BF148" s="23"/>
      <c r="BG148" s="23"/>
      <c r="BH148" s="23"/>
      <c r="BI148" s="23"/>
      <c r="BJ148" s="23"/>
      <c r="BK148" s="23"/>
      <c r="BL148" s="23"/>
      <c r="BM148" s="23"/>
      <c r="BN148" s="24"/>
      <c r="BO148" s="23"/>
      <c r="BP148" s="23"/>
      <c r="BQ148" s="23"/>
      <c r="BR148" s="23"/>
      <c r="BS148" s="24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4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4"/>
      <c r="CS148" s="24"/>
      <c r="CT148" s="24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4"/>
      <c r="DM148" s="23"/>
      <c r="DN148" s="23"/>
      <c r="DO148" s="23"/>
      <c r="DP148" s="23"/>
      <c r="DQ148" s="23"/>
      <c r="DR148" s="24"/>
      <c r="DS148" s="24"/>
      <c r="DT148" s="24"/>
      <c r="DU148" s="23"/>
      <c r="DV148" s="23"/>
      <c r="DW148" s="23"/>
      <c r="DX148" s="23"/>
      <c r="DY148" s="23"/>
      <c r="DZ148" s="23"/>
      <c r="EA148" s="24"/>
    </row>
    <row r="149" spans="1:131">
      <c r="A149" s="24"/>
      <c r="B149" s="24"/>
      <c r="C149" s="24"/>
      <c r="D149" s="24"/>
      <c r="E149" s="24"/>
      <c r="F149" s="24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4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4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4"/>
      <c r="AW149" s="23"/>
      <c r="AX149" s="23"/>
      <c r="AY149" s="23"/>
      <c r="AZ149" s="23"/>
      <c r="BA149" s="23"/>
      <c r="BB149" s="23"/>
      <c r="BC149" s="23"/>
      <c r="BD149" s="24"/>
      <c r="BE149" s="23"/>
      <c r="BF149" s="23"/>
      <c r="BG149" s="23"/>
      <c r="BH149" s="23"/>
      <c r="BI149" s="23"/>
      <c r="BJ149" s="23"/>
      <c r="BK149" s="23"/>
      <c r="BL149" s="23"/>
      <c r="BM149" s="23"/>
      <c r="BN149" s="24"/>
      <c r="BO149" s="23"/>
      <c r="BP149" s="23"/>
      <c r="BQ149" s="23"/>
      <c r="BR149" s="23"/>
      <c r="BS149" s="24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4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4"/>
      <c r="CS149" s="24"/>
      <c r="CT149" s="24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4"/>
      <c r="DM149" s="23"/>
      <c r="DN149" s="23"/>
      <c r="DO149" s="23"/>
      <c r="DP149" s="23"/>
      <c r="DQ149" s="23"/>
      <c r="DR149" s="24"/>
      <c r="DS149" s="24"/>
      <c r="DT149" s="24"/>
      <c r="DU149" s="23"/>
      <c r="DV149" s="23"/>
      <c r="DW149" s="23"/>
      <c r="DX149" s="23"/>
      <c r="DY149" s="23"/>
      <c r="DZ149" s="23"/>
      <c r="EA149" s="24"/>
    </row>
    <row r="150" spans="1:131">
      <c r="A150" s="24"/>
      <c r="B150" s="24"/>
      <c r="C150" s="24"/>
      <c r="D150" s="24"/>
      <c r="E150" s="24"/>
      <c r="F150" s="24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4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4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4"/>
      <c r="AW150" s="23"/>
      <c r="AX150" s="23"/>
      <c r="AY150" s="23"/>
      <c r="AZ150" s="23"/>
      <c r="BA150" s="23"/>
      <c r="BB150" s="23"/>
      <c r="BC150" s="23"/>
      <c r="BD150" s="24"/>
      <c r="BE150" s="23"/>
      <c r="BF150" s="23"/>
      <c r="BG150" s="23"/>
      <c r="BH150" s="23"/>
      <c r="BI150" s="23"/>
      <c r="BJ150" s="23"/>
      <c r="BK150" s="23"/>
      <c r="BL150" s="23"/>
      <c r="BM150" s="23"/>
      <c r="BN150" s="24"/>
      <c r="BO150" s="23"/>
      <c r="BP150" s="23"/>
      <c r="BQ150" s="23"/>
      <c r="BR150" s="23"/>
      <c r="BS150" s="24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4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4"/>
      <c r="CS150" s="24"/>
      <c r="CT150" s="24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4"/>
      <c r="DM150" s="23"/>
      <c r="DN150" s="23"/>
      <c r="DO150" s="23"/>
      <c r="DP150" s="23"/>
      <c r="DQ150" s="23"/>
      <c r="DR150" s="24"/>
      <c r="DS150" s="24"/>
      <c r="DT150" s="24"/>
      <c r="DU150" s="23"/>
      <c r="DV150" s="23"/>
      <c r="DW150" s="23"/>
      <c r="DX150" s="23"/>
      <c r="DY150" s="23"/>
      <c r="DZ150" s="23"/>
      <c r="EA150" s="24"/>
    </row>
    <row r="151" spans="1:131">
      <c r="A151" s="24"/>
      <c r="B151" s="24"/>
      <c r="C151" s="24"/>
      <c r="D151" s="24"/>
      <c r="E151" s="24"/>
      <c r="F151" s="24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4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4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4"/>
      <c r="AW151" s="23"/>
      <c r="AX151" s="23"/>
      <c r="AY151" s="23"/>
      <c r="AZ151" s="23"/>
      <c r="BA151" s="23"/>
      <c r="BB151" s="23"/>
      <c r="BC151" s="23"/>
      <c r="BD151" s="24"/>
      <c r="BE151" s="23"/>
      <c r="BF151" s="23"/>
      <c r="BG151" s="23"/>
      <c r="BH151" s="23"/>
      <c r="BI151" s="23"/>
      <c r="BJ151" s="23"/>
      <c r="BK151" s="23"/>
      <c r="BL151" s="23"/>
      <c r="BM151" s="23"/>
      <c r="BN151" s="24"/>
      <c r="BO151" s="23"/>
      <c r="BP151" s="23"/>
      <c r="BQ151" s="23"/>
      <c r="BR151" s="23"/>
      <c r="BS151" s="24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4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4"/>
      <c r="CS151" s="24"/>
      <c r="CT151" s="24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4"/>
      <c r="DM151" s="23"/>
      <c r="DN151" s="23"/>
      <c r="DO151" s="23"/>
      <c r="DP151" s="23"/>
      <c r="DQ151" s="23"/>
      <c r="DR151" s="24"/>
      <c r="DS151" s="24"/>
      <c r="DT151" s="24"/>
      <c r="DU151" s="23"/>
      <c r="DV151" s="23"/>
      <c r="DW151" s="23"/>
      <c r="DX151" s="23"/>
      <c r="DY151" s="23"/>
      <c r="DZ151" s="23"/>
      <c r="EA151" s="24"/>
    </row>
    <row r="152" spans="1:131">
      <c r="A152" s="24"/>
      <c r="B152" s="24"/>
      <c r="C152" s="24"/>
      <c r="D152" s="24"/>
      <c r="E152" s="24"/>
      <c r="F152" s="24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4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4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4"/>
      <c r="AW152" s="23"/>
      <c r="AX152" s="23"/>
      <c r="AY152" s="23"/>
      <c r="AZ152" s="23"/>
      <c r="BA152" s="23"/>
      <c r="BB152" s="23"/>
      <c r="BC152" s="23"/>
      <c r="BD152" s="24"/>
      <c r="BE152" s="23"/>
      <c r="BF152" s="23"/>
      <c r="BG152" s="23"/>
      <c r="BH152" s="23"/>
      <c r="BI152" s="23"/>
      <c r="BJ152" s="23"/>
      <c r="BK152" s="23"/>
      <c r="BL152" s="23"/>
      <c r="BM152" s="23"/>
      <c r="BN152" s="24"/>
      <c r="BO152" s="23"/>
      <c r="BP152" s="23"/>
      <c r="BQ152" s="23"/>
      <c r="BR152" s="23"/>
      <c r="BS152" s="24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4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4"/>
      <c r="CS152" s="24"/>
      <c r="CT152" s="24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4"/>
      <c r="DM152" s="23"/>
      <c r="DN152" s="23"/>
      <c r="DO152" s="23"/>
      <c r="DP152" s="23"/>
      <c r="DQ152" s="23"/>
      <c r="DR152" s="24"/>
      <c r="DS152" s="24"/>
      <c r="DT152" s="24"/>
      <c r="DU152" s="23"/>
      <c r="DV152" s="23"/>
      <c r="DW152" s="23"/>
      <c r="DX152" s="23"/>
      <c r="DY152" s="23"/>
      <c r="DZ152" s="23"/>
      <c r="EA152" s="24"/>
    </row>
    <row r="153" spans="1:131">
      <c r="A153" s="24"/>
      <c r="B153" s="24"/>
      <c r="C153" s="24"/>
      <c r="D153" s="24"/>
      <c r="E153" s="24"/>
      <c r="F153" s="24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4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4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4"/>
      <c r="AW153" s="23"/>
      <c r="AX153" s="23"/>
      <c r="AY153" s="23"/>
      <c r="AZ153" s="23"/>
      <c r="BA153" s="23"/>
      <c r="BB153" s="23"/>
      <c r="BC153" s="23"/>
      <c r="BD153" s="24"/>
      <c r="BE153" s="23"/>
      <c r="BF153" s="23"/>
      <c r="BG153" s="23"/>
      <c r="BH153" s="23"/>
      <c r="BI153" s="23"/>
      <c r="BJ153" s="23"/>
      <c r="BK153" s="23"/>
      <c r="BL153" s="23"/>
      <c r="BM153" s="23"/>
      <c r="BN153" s="24"/>
      <c r="BO153" s="23"/>
      <c r="BP153" s="23"/>
      <c r="BQ153" s="23"/>
      <c r="BR153" s="23"/>
      <c r="BS153" s="24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4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4"/>
      <c r="CS153" s="24"/>
      <c r="CT153" s="24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4"/>
      <c r="DM153" s="23"/>
      <c r="DN153" s="23"/>
      <c r="DO153" s="23"/>
      <c r="DP153" s="23"/>
      <c r="DQ153" s="23"/>
      <c r="DR153" s="24"/>
      <c r="DS153" s="24"/>
      <c r="DT153" s="24"/>
      <c r="DU153" s="23"/>
      <c r="DV153" s="23"/>
      <c r="DW153" s="23"/>
      <c r="DX153" s="23"/>
      <c r="DY153" s="23"/>
      <c r="DZ153" s="23"/>
      <c r="EA153" s="24"/>
    </row>
    <row r="154" spans="1:131">
      <c r="A154" s="24"/>
      <c r="B154" s="24"/>
      <c r="C154" s="24"/>
      <c r="D154" s="24"/>
      <c r="E154" s="24"/>
      <c r="F154" s="24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4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4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4"/>
      <c r="AW154" s="23"/>
      <c r="AX154" s="23"/>
      <c r="AY154" s="23"/>
      <c r="AZ154" s="23"/>
      <c r="BA154" s="23"/>
      <c r="BB154" s="23"/>
      <c r="BC154" s="23"/>
      <c r="BD154" s="24"/>
      <c r="BE154" s="23"/>
      <c r="BF154" s="23"/>
      <c r="BG154" s="23"/>
      <c r="BH154" s="23"/>
      <c r="BI154" s="23"/>
      <c r="BJ154" s="23"/>
      <c r="BK154" s="23"/>
      <c r="BL154" s="23"/>
      <c r="BM154" s="23"/>
      <c r="BN154" s="24"/>
      <c r="BO154" s="23"/>
      <c r="BP154" s="23"/>
      <c r="BQ154" s="23"/>
      <c r="BR154" s="23"/>
      <c r="BS154" s="24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4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4"/>
      <c r="CS154" s="24"/>
      <c r="CT154" s="24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4"/>
      <c r="DM154" s="23"/>
      <c r="DN154" s="23"/>
      <c r="DO154" s="23"/>
      <c r="DP154" s="23"/>
      <c r="DQ154" s="23"/>
      <c r="DR154" s="24"/>
      <c r="DS154" s="24"/>
      <c r="DT154" s="24"/>
      <c r="DU154" s="23"/>
      <c r="DV154" s="23"/>
      <c r="DW154" s="23"/>
      <c r="DX154" s="23"/>
      <c r="DY154" s="23"/>
      <c r="DZ154" s="23"/>
      <c r="EA154" s="24"/>
    </row>
    <row r="155" spans="1:131">
      <c r="A155" s="24"/>
      <c r="B155" s="24"/>
      <c r="C155" s="24"/>
      <c r="D155" s="24"/>
      <c r="E155" s="24"/>
      <c r="F155" s="24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4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4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4"/>
      <c r="AW155" s="23"/>
      <c r="AX155" s="23"/>
      <c r="AY155" s="23"/>
      <c r="AZ155" s="23"/>
      <c r="BA155" s="23"/>
      <c r="BB155" s="23"/>
      <c r="BC155" s="23"/>
      <c r="BD155" s="24"/>
      <c r="BE155" s="23"/>
      <c r="BF155" s="23"/>
      <c r="BG155" s="23"/>
      <c r="BH155" s="23"/>
      <c r="BI155" s="23"/>
      <c r="BJ155" s="23"/>
      <c r="BK155" s="23"/>
      <c r="BL155" s="23"/>
      <c r="BM155" s="23"/>
      <c r="BN155" s="24"/>
      <c r="BO155" s="23"/>
      <c r="BP155" s="23"/>
      <c r="BQ155" s="23"/>
      <c r="BR155" s="23"/>
      <c r="BS155" s="24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4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4"/>
      <c r="CS155" s="24"/>
      <c r="CT155" s="24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4"/>
      <c r="DM155" s="23"/>
      <c r="DN155" s="23"/>
      <c r="DO155" s="23"/>
      <c r="DP155" s="23"/>
      <c r="DQ155" s="23"/>
      <c r="DR155" s="24"/>
      <c r="DS155" s="24"/>
      <c r="DT155" s="24"/>
      <c r="DU155" s="23"/>
      <c r="DV155" s="23"/>
      <c r="DW155" s="23"/>
      <c r="DX155" s="23"/>
      <c r="DY155" s="23"/>
      <c r="DZ155" s="23"/>
      <c r="EA155" s="24"/>
    </row>
    <row r="156" spans="1:131">
      <c r="A156" s="24"/>
      <c r="B156" s="24"/>
      <c r="C156" s="24"/>
      <c r="D156" s="24"/>
      <c r="E156" s="24"/>
      <c r="F156" s="24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4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4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4"/>
      <c r="AW156" s="23"/>
      <c r="AX156" s="23"/>
      <c r="AY156" s="23"/>
      <c r="AZ156" s="23"/>
      <c r="BA156" s="23"/>
      <c r="BB156" s="23"/>
      <c r="BC156" s="23"/>
      <c r="BD156" s="24"/>
      <c r="BE156" s="23"/>
      <c r="BF156" s="23"/>
      <c r="BG156" s="23"/>
      <c r="BH156" s="23"/>
      <c r="BI156" s="23"/>
      <c r="BJ156" s="23"/>
      <c r="BK156" s="23"/>
      <c r="BL156" s="23"/>
      <c r="BM156" s="23"/>
      <c r="BN156" s="24"/>
      <c r="BO156" s="23"/>
      <c r="BP156" s="23"/>
      <c r="BQ156" s="23"/>
      <c r="BR156" s="23"/>
      <c r="BS156" s="24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4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4"/>
      <c r="CS156" s="24"/>
      <c r="CT156" s="24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4"/>
      <c r="DM156" s="23"/>
      <c r="DN156" s="23"/>
      <c r="DO156" s="23"/>
      <c r="DP156" s="23"/>
      <c r="DQ156" s="23"/>
      <c r="DR156" s="24"/>
      <c r="DS156" s="24"/>
      <c r="DT156" s="24"/>
      <c r="DU156" s="23"/>
      <c r="DV156" s="23"/>
      <c r="DW156" s="23"/>
      <c r="DX156" s="23"/>
      <c r="DY156" s="23"/>
      <c r="DZ156" s="23"/>
      <c r="EA156" s="24"/>
    </row>
    <row r="157" spans="1:131">
      <c r="A157" s="24"/>
      <c r="B157" s="24"/>
      <c r="C157" s="24"/>
      <c r="D157" s="24"/>
      <c r="E157" s="24"/>
      <c r="F157" s="24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4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4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4"/>
      <c r="AW157" s="23"/>
      <c r="AX157" s="23"/>
      <c r="AY157" s="23"/>
      <c r="AZ157" s="23"/>
      <c r="BA157" s="23"/>
      <c r="BB157" s="23"/>
      <c r="BC157" s="23"/>
      <c r="BD157" s="24"/>
      <c r="BE157" s="23"/>
      <c r="BF157" s="23"/>
      <c r="BG157" s="23"/>
      <c r="BH157" s="23"/>
      <c r="BI157" s="23"/>
      <c r="BJ157" s="23"/>
      <c r="BK157" s="23"/>
      <c r="BL157" s="23"/>
      <c r="BM157" s="23"/>
      <c r="BN157" s="24"/>
      <c r="BO157" s="23"/>
      <c r="BP157" s="23"/>
      <c r="BQ157" s="23"/>
      <c r="BR157" s="23"/>
      <c r="BS157" s="24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4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4"/>
      <c r="CS157" s="24"/>
      <c r="CT157" s="24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4"/>
      <c r="DM157" s="23"/>
      <c r="DN157" s="23"/>
      <c r="DO157" s="23"/>
      <c r="DP157" s="23"/>
      <c r="DQ157" s="23"/>
      <c r="DR157" s="24"/>
      <c r="DS157" s="24"/>
      <c r="DT157" s="24"/>
      <c r="DU157" s="23"/>
      <c r="DV157" s="23"/>
      <c r="DW157" s="23"/>
      <c r="DX157" s="23"/>
      <c r="DY157" s="23"/>
      <c r="DZ157" s="23"/>
      <c r="EA157" s="24"/>
    </row>
    <row r="158" spans="1:131">
      <c r="A158" s="24"/>
      <c r="B158" s="24"/>
      <c r="C158" s="24"/>
      <c r="D158" s="24"/>
      <c r="E158" s="24"/>
      <c r="F158" s="24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4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4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4"/>
      <c r="AW158" s="23"/>
      <c r="AX158" s="23"/>
      <c r="AY158" s="23"/>
      <c r="AZ158" s="23"/>
      <c r="BA158" s="23"/>
      <c r="BB158" s="23"/>
      <c r="BC158" s="23"/>
      <c r="BD158" s="24"/>
      <c r="BE158" s="23"/>
      <c r="BF158" s="23"/>
      <c r="BG158" s="23"/>
      <c r="BH158" s="23"/>
      <c r="BI158" s="23"/>
      <c r="BJ158" s="23"/>
      <c r="BK158" s="23"/>
      <c r="BL158" s="23"/>
      <c r="BM158" s="23"/>
      <c r="BN158" s="24"/>
      <c r="BO158" s="23"/>
      <c r="BP158" s="23"/>
      <c r="BQ158" s="23"/>
      <c r="BR158" s="23"/>
      <c r="BS158" s="24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4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4"/>
      <c r="CS158" s="24"/>
      <c r="CT158" s="24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4"/>
      <c r="DM158" s="23"/>
      <c r="DN158" s="23"/>
      <c r="DO158" s="23"/>
      <c r="DP158" s="23"/>
      <c r="DQ158" s="23"/>
      <c r="DR158" s="24"/>
      <c r="DS158" s="24"/>
      <c r="DT158" s="24"/>
      <c r="DU158" s="23"/>
      <c r="DV158" s="23"/>
      <c r="DW158" s="23"/>
      <c r="DX158" s="23"/>
      <c r="DY158" s="23"/>
      <c r="DZ158" s="23"/>
      <c r="EA158" s="24"/>
    </row>
    <row r="159" spans="1:131">
      <c r="A159" s="24"/>
      <c r="B159" s="24"/>
      <c r="C159" s="24"/>
      <c r="D159" s="24"/>
      <c r="E159" s="24"/>
      <c r="F159" s="24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4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4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4"/>
      <c r="AW159" s="23"/>
      <c r="AX159" s="23"/>
      <c r="AY159" s="23"/>
      <c r="AZ159" s="23"/>
      <c r="BA159" s="23"/>
      <c r="BB159" s="23"/>
      <c r="BC159" s="23"/>
      <c r="BD159" s="24"/>
      <c r="BE159" s="23"/>
      <c r="BF159" s="23"/>
      <c r="BG159" s="23"/>
      <c r="BH159" s="23"/>
      <c r="BI159" s="23"/>
      <c r="BJ159" s="23"/>
      <c r="BK159" s="23"/>
      <c r="BL159" s="23"/>
      <c r="BM159" s="23"/>
      <c r="BN159" s="24"/>
      <c r="BO159" s="23"/>
      <c r="BP159" s="23"/>
      <c r="BQ159" s="23"/>
      <c r="BR159" s="23"/>
      <c r="BS159" s="24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4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4"/>
      <c r="CS159" s="24"/>
      <c r="CT159" s="24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4"/>
      <c r="DM159" s="23"/>
      <c r="DN159" s="23"/>
      <c r="DO159" s="23"/>
      <c r="DP159" s="23"/>
      <c r="DQ159" s="23"/>
      <c r="DR159" s="24"/>
      <c r="DS159" s="24"/>
      <c r="DT159" s="24"/>
      <c r="DU159" s="23"/>
      <c r="DV159" s="23"/>
      <c r="DW159" s="23"/>
      <c r="DX159" s="23"/>
      <c r="DY159" s="23"/>
      <c r="DZ159" s="23"/>
      <c r="EA159" s="24"/>
    </row>
    <row r="160" spans="1:131">
      <c r="A160" s="24"/>
      <c r="B160" s="24"/>
      <c r="C160" s="24"/>
      <c r="D160" s="24"/>
      <c r="E160" s="24"/>
      <c r="F160" s="24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4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4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4"/>
      <c r="AW160" s="23"/>
      <c r="AX160" s="23"/>
      <c r="AY160" s="23"/>
      <c r="AZ160" s="23"/>
      <c r="BA160" s="23"/>
      <c r="BB160" s="23"/>
      <c r="BC160" s="23"/>
      <c r="BD160" s="24"/>
      <c r="BE160" s="23"/>
      <c r="BF160" s="23"/>
      <c r="BG160" s="23"/>
      <c r="BH160" s="23"/>
      <c r="BI160" s="23"/>
      <c r="BJ160" s="23"/>
      <c r="BK160" s="23"/>
      <c r="BL160" s="23"/>
      <c r="BM160" s="23"/>
      <c r="BN160" s="24"/>
      <c r="BO160" s="23"/>
      <c r="BP160" s="23"/>
      <c r="BQ160" s="23"/>
      <c r="BR160" s="23"/>
      <c r="BS160" s="24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4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4"/>
      <c r="CS160" s="24"/>
      <c r="CT160" s="24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4"/>
      <c r="DM160" s="23"/>
      <c r="DN160" s="23"/>
      <c r="DO160" s="23"/>
      <c r="DP160" s="23"/>
      <c r="DQ160" s="23"/>
      <c r="DR160" s="24"/>
      <c r="DS160" s="24"/>
      <c r="DT160" s="24"/>
      <c r="DU160" s="23"/>
      <c r="DV160" s="23"/>
      <c r="DW160" s="23"/>
      <c r="DX160" s="23"/>
      <c r="DY160" s="23"/>
      <c r="DZ160" s="23"/>
      <c r="EA160" s="24"/>
    </row>
    <row r="161" spans="1:131">
      <c r="A161" s="24"/>
      <c r="B161" s="24"/>
      <c r="C161" s="24"/>
      <c r="D161" s="24"/>
      <c r="E161" s="24"/>
      <c r="F161" s="24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4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4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4"/>
      <c r="AW161" s="23"/>
      <c r="AX161" s="23"/>
      <c r="AY161" s="23"/>
      <c r="AZ161" s="23"/>
      <c r="BA161" s="23"/>
      <c r="BB161" s="23"/>
      <c r="BC161" s="23"/>
      <c r="BD161" s="24"/>
      <c r="BE161" s="23"/>
      <c r="BF161" s="23"/>
      <c r="BG161" s="23"/>
      <c r="BH161" s="23"/>
      <c r="BI161" s="23"/>
      <c r="BJ161" s="23"/>
      <c r="BK161" s="23"/>
      <c r="BL161" s="23"/>
      <c r="BM161" s="23"/>
      <c r="BN161" s="24"/>
      <c r="BO161" s="23"/>
      <c r="BP161" s="23"/>
      <c r="BQ161" s="23"/>
      <c r="BR161" s="23"/>
      <c r="BS161" s="24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4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4"/>
      <c r="CS161" s="24"/>
      <c r="CT161" s="24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4"/>
      <c r="DM161" s="23"/>
      <c r="DN161" s="23"/>
      <c r="DO161" s="23"/>
      <c r="DP161" s="23"/>
      <c r="DQ161" s="23"/>
      <c r="DR161" s="24"/>
      <c r="DS161" s="24"/>
      <c r="DT161" s="24"/>
      <c r="DU161" s="23"/>
      <c r="DV161" s="23"/>
      <c r="DW161" s="23"/>
      <c r="DX161" s="23"/>
      <c r="DY161" s="23"/>
      <c r="DZ161" s="23"/>
      <c r="EA161" s="24"/>
    </row>
    <row r="162" spans="1:131">
      <c r="A162" s="24"/>
      <c r="B162" s="24"/>
      <c r="C162" s="24"/>
      <c r="D162" s="24"/>
      <c r="E162" s="24"/>
      <c r="F162" s="24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4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4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4"/>
      <c r="AW162" s="23"/>
      <c r="AX162" s="23"/>
      <c r="AY162" s="23"/>
      <c r="AZ162" s="23"/>
      <c r="BA162" s="23"/>
      <c r="BB162" s="23"/>
      <c r="BC162" s="23"/>
      <c r="BD162" s="24"/>
      <c r="BE162" s="23"/>
      <c r="BF162" s="23"/>
      <c r="BG162" s="23"/>
      <c r="BH162" s="23"/>
      <c r="BI162" s="23"/>
      <c r="BJ162" s="23"/>
      <c r="BK162" s="23"/>
      <c r="BL162" s="23"/>
      <c r="BM162" s="23"/>
      <c r="BN162" s="24"/>
      <c r="BO162" s="23"/>
      <c r="BP162" s="23"/>
      <c r="BQ162" s="23"/>
      <c r="BR162" s="23"/>
      <c r="BS162" s="24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4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4"/>
      <c r="CS162" s="24"/>
      <c r="CT162" s="24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4"/>
      <c r="DM162" s="23"/>
      <c r="DN162" s="23"/>
      <c r="DO162" s="23"/>
      <c r="DP162" s="23"/>
      <c r="DQ162" s="23"/>
      <c r="DR162" s="24"/>
      <c r="DS162" s="24"/>
      <c r="DT162" s="24"/>
      <c r="DU162" s="23"/>
      <c r="DV162" s="23"/>
      <c r="DW162" s="23"/>
      <c r="DX162" s="23"/>
      <c r="DY162" s="23"/>
      <c r="DZ162" s="23"/>
      <c r="EA162" s="24"/>
    </row>
    <row r="163" spans="1:131">
      <c r="A163" s="24"/>
      <c r="B163" s="24"/>
      <c r="C163" s="24"/>
      <c r="D163" s="24"/>
      <c r="E163" s="24"/>
      <c r="F163" s="24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4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4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4"/>
      <c r="AW163" s="23"/>
      <c r="AX163" s="23"/>
      <c r="AY163" s="23"/>
      <c r="AZ163" s="23"/>
      <c r="BA163" s="23"/>
      <c r="BB163" s="23"/>
      <c r="BC163" s="23"/>
      <c r="BD163" s="24"/>
      <c r="BE163" s="23"/>
      <c r="BF163" s="23"/>
      <c r="BG163" s="23"/>
      <c r="BH163" s="23"/>
      <c r="BI163" s="23"/>
      <c r="BJ163" s="23"/>
      <c r="BK163" s="23"/>
      <c r="BL163" s="23"/>
      <c r="BM163" s="23"/>
      <c r="BN163" s="24"/>
      <c r="BO163" s="23"/>
      <c r="BP163" s="23"/>
      <c r="BQ163" s="23"/>
      <c r="BR163" s="23"/>
      <c r="BS163" s="24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4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4"/>
      <c r="CS163" s="24"/>
      <c r="CT163" s="24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4"/>
      <c r="DM163" s="23"/>
      <c r="DN163" s="23"/>
      <c r="DO163" s="23"/>
      <c r="DP163" s="23"/>
      <c r="DQ163" s="23"/>
      <c r="DR163" s="24"/>
      <c r="DS163" s="24"/>
      <c r="DT163" s="24"/>
      <c r="DU163" s="23"/>
      <c r="DV163" s="23"/>
      <c r="DW163" s="23"/>
      <c r="DX163" s="23"/>
      <c r="DY163" s="23"/>
      <c r="DZ163" s="23"/>
      <c r="EA163" s="24"/>
    </row>
    <row r="164" spans="1:131">
      <c r="A164" s="24"/>
      <c r="B164" s="24"/>
      <c r="C164" s="24"/>
      <c r="D164" s="24"/>
      <c r="E164" s="24"/>
      <c r="F164" s="24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4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4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4"/>
      <c r="AW164" s="23"/>
      <c r="AX164" s="23"/>
      <c r="AY164" s="23"/>
      <c r="AZ164" s="23"/>
      <c r="BA164" s="23"/>
      <c r="BB164" s="23"/>
      <c r="BC164" s="23"/>
      <c r="BD164" s="24"/>
      <c r="BE164" s="23"/>
      <c r="BF164" s="23"/>
      <c r="BG164" s="23"/>
      <c r="BH164" s="23"/>
      <c r="BI164" s="23"/>
      <c r="BJ164" s="23"/>
      <c r="BK164" s="23"/>
      <c r="BL164" s="23"/>
      <c r="BM164" s="23"/>
      <c r="BN164" s="24"/>
      <c r="BO164" s="23"/>
      <c r="BP164" s="23"/>
      <c r="BQ164" s="23"/>
      <c r="BR164" s="23"/>
      <c r="BS164" s="24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4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4"/>
      <c r="CS164" s="24"/>
      <c r="CT164" s="24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4"/>
      <c r="DM164" s="23"/>
      <c r="DN164" s="23"/>
      <c r="DO164" s="23"/>
      <c r="DP164" s="23"/>
      <c r="DQ164" s="23"/>
      <c r="DR164" s="24"/>
      <c r="DS164" s="24"/>
      <c r="DT164" s="24"/>
      <c r="DU164" s="23"/>
      <c r="DV164" s="23"/>
      <c r="DW164" s="23"/>
      <c r="DX164" s="23"/>
      <c r="DY164" s="23"/>
      <c r="DZ164" s="23"/>
      <c r="EA164" s="24"/>
    </row>
    <row r="165" spans="1:131">
      <c r="A165" s="24"/>
      <c r="B165" s="24"/>
      <c r="C165" s="24"/>
      <c r="D165" s="24"/>
      <c r="E165" s="24"/>
      <c r="F165" s="24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4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4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4"/>
      <c r="AW165" s="23"/>
      <c r="AX165" s="23"/>
      <c r="AY165" s="23"/>
      <c r="AZ165" s="23"/>
      <c r="BA165" s="23"/>
      <c r="BB165" s="23"/>
      <c r="BC165" s="23"/>
      <c r="BD165" s="24"/>
      <c r="BE165" s="23"/>
      <c r="BF165" s="23"/>
      <c r="BG165" s="23"/>
      <c r="BH165" s="23"/>
      <c r="BI165" s="23"/>
      <c r="BJ165" s="23"/>
      <c r="BK165" s="23"/>
      <c r="BL165" s="23"/>
      <c r="BM165" s="23"/>
      <c r="BN165" s="24"/>
      <c r="BO165" s="23"/>
      <c r="BP165" s="23"/>
      <c r="BQ165" s="23"/>
      <c r="BR165" s="23"/>
      <c r="BS165" s="24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4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4"/>
      <c r="CS165" s="24"/>
      <c r="CT165" s="24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4"/>
      <c r="DM165" s="23"/>
      <c r="DN165" s="23"/>
      <c r="DO165" s="23"/>
      <c r="DP165" s="23"/>
      <c r="DQ165" s="23"/>
      <c r="DR165" s="24"/>
      <c r="DS165" s="24"/>
      <c r="DT165" s="24"/>
      <c r="DU165" s="23"/>
      <c r="DV165" s="23"/>
      <c r="DW165" s="23"/>
      <c r="DX165" s="23"/>
      <c r="DY165" s="23"/>
      <c r="DZ165" s="23"/>
      <c r="EA165" s="24"/>
    </row>
    <row r="166" spans="1:131">
      <c r="A166" s="24"/>
      <c r="B166" s="24"/>
      <c r="C166" s="24"/>
      <c r="D166" s="24"/>
      <c r="E166" s="24"/>
      <c r="F166" s="24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4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4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4"/>
      <c r="AW166" s="23"/>
      <c r="AX166" s="23"/>
      <c r="AY166" s="23"/>
      <c r="AZ166" s="23"/>
      <c r="BA166" s="23"/>
      <c r="BB166" s="23"/>
      <c r="BC166" s="23"/>
      <c r="BD166" s="24"/>
      <c r="BE166" s="23"/>
      <c r="BF166" s="23"/>
      <c r="BG166" s="23"/>
      <c r="BH166" s="23"/>
      <c r="BI166" s="23"/>
      <c r="BJ166" s="23"/>
      <c r="BK166" s="23"/>
      <c r="BL166" s="23"/>
      <c r="BM166" s="23"/>
      <c r="BN166" s="24"/>
      <c r="BO166" s="23"/>
      <c r="BP166" s="23"/>
      <c r="BQ166" s="23"/>
      <c r="BR166" s="23"/>
      <c r="BS166" s="24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4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4"/>
      <c r="CS166" s="24"/>
      <c r="CT166" s="24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4"/>
      <c r="DM166" s="23"/>
      <c r="DN166" s="23"/>
      <c r="DO166" s="23"/>
      <c r="DP166" s="23"/>
      <c r="DQ166" s="23"/>
      <c r="DR166" s="24"/>
      <c r="DS166" s="24"/>
      <c r="DT166" s="24"/>
      <c r="DU166" s="23"/>
      <c r="DV166" s="23"/>
      <c r="DW166" s="23"/>
      <c r="DX166" s="23"/>
      <c r="DY166" s="23"/>
      <c r="DZ166" s="23"/>
      <c r="EA166" s="24"/>
    </row>
    <row r="167" spans="1:131">
      <c r="A167" s="24"/>
      <c r="B167" s="24"/>
      <c r="C167" s="24"/>
      <c r="D167" s="24"/>
      <c r="E167" s="24"/>
      <c r="F167" s="24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4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4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4"/>
      <c r="AW167" s="23"/>
      <c r="AX167" s="23"/>
      <c r="AY167" s="23"/>
      <c r="AZ167" s="23"/>
      <c r="BA167" s="23"/>
      <c r="BB167" s="23"/>
      <c r="BC167" s="23"/>
      <c r="BD167" s="24"/>
      <c r="BE167" s="23"/>
      <c r="BF167" s="23"/>
      <c r="BG167" s="23"/>
      <c r="BH167" s="23"/>
      <c r="BI167" s="23"/>
      <c r="BJ167" s="23"/>
      <c r="BK167" s="23"/>
      <c r="BL167" s="23"/>
      <c r="BM167" s="23"/>
      <c r="BN167" s="24"/>
      <c r="BO167" s="23"/>
      <c r="BP167" s="23"/>
      <c r="BQ167" s="23"/>
      <c r="BR167" s="23"/>
      <c r="BS167" s="24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4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4"/>
      <c r="CS167" s="24"/>
      <c r="CT167" s="24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4"/>
      <c r="DM167" s="23"/>
      <c r="DN167" s="23"/>
      <c r="DO167" s="23"/>
      <c r="DP167" s="23"/>
      <c r="DQ167" s="23"/>
      <c r="DR167" s="24"/>
      <c r="DS167" s="24"/>
      <c r="DT167" s="24"/>
      <c r="DU167" s="23"/>
      <c r="DV167" s="23"/>
      <c r="DW167" s="23"/>
      <c r="DX167" s="23"/>
      <c r="DY167" s="23"/>
      <c r="DZ167" s="23"/>
      <c r="EA167" s="24"/>
    </row>
    <row r="168" spans="1:131">
      <c r="A168" s="24"/>
      <c r="B168" s="24"/>
      <c r="C168" s="24"/>
      <c r="D168" s="24"/>
      <c r="E168" s="24"/>
      <c r="F168" s="24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4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4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4"/>
      <c r="AW168" s="23"/>
      <c r="AX168" s="23"/>
      <c r="AY168" s="23"/>
      <c r="AZ168" s="23"/>
      <c r="BA168" s="23"/>
      <c r="BB168" s="23"/>
      <c r="BC168" s="23"/>
      <c r="BD168" s="24"/>
      <c r="BE168" s="23"/>
      <c r="BF168" s="23"/>
      <c r="BG168" s="23"/>
      <c r="BH168" s="23"/>
      <c r="BI168" s="23"/>
      <c r="BJ168" s="23"/>
      <c r="BK168" s="23"/>
      <c r="BL168" s="23"/>
      <c r="BM168" s="23"/>
      <c r="BN168" s="24"/>
      <c r="BO168" s="23"/>
      <c r="BP168" s="23"/>
      <c r="BQ168" s="23"/>
      <c r="BR168" s="23"/>
      <c r="BS168" s="24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4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4"/>
      <c r="CS168" s="24"/>
      <c r="CT168" s="24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4"/>
      <c r="DM168" s="23"/>
      <c r="DN168" s="23"/>
      <c r="DO168" s="23"/>
      <c r="DP168" s="23"/>
      <c r="DQ168" s="23"/>
      <c r="DR168" s="24"/>
      <c r="DS168" s="24"/>
      <c r="DT168" s="24"/>
      <c r="DU168" s="23"/>
      <c r="DV168" s="23"/>
      <c r="DW168" s="23"/>
      <c r="DX168" s="23"/>
      <c r="DY168" s="23"/>
      <c r="DZ168" s="23"/>
      <c r="EA168" s="24"/>
    </row>
    <row r="169" spans="1:131">
      <c r="A169" s="24"/>
      <c r="B169" s="24"/>
      <c r="C169" s="24"/>
      <c r="D169" s="24"/>
      <c r="E169" s="24"/>
      <c r="F169" s="24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4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4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4"/>
      <c r="AW169" s="23"/>
      <c r="AX169" s="23"/>
      <c r="AY169" s="23"/>
      <c r="AZ169" s="23"/>
      <c r="BA169" s="23"/>
      <c r="BB169" s="23"/>
      <c r="BC169" s="23"/>
      <c r="BD169" s="24"/>
      <c r="BE169" s="23"/>
      <c r="BF169" s="23"/>
      <c r="BG169" s="23"/>
      <c r="BH169" s="23"/>
      <c r="BI169" s="23"/>
      <c r="BJ169" s="23"/>
      <c r="BK169" s="23"/>
      <c r="BL169" s="23"/>
      <c r="BM169" s="23"/>
      <c r="BN169" s="24"/>
      <c r="BO169" s="23"/>
      <c r="BP169" s="23"/>
      <c r="BQ169" s="23"/>
      <c r="BR169" s="23"/>
      <c r="BS169" s="24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4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4"/>
      <c r="CS169" s="24"/>
      <c r="CT169" s="24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4"/>
      <c r="DM169" s="23"/>
      <c r="DN169" s="23"/>
      <c r="DO169" s="23"/>
      <c r="DP169" s="23"/>
      <c r="DQ169" s="23"/>
      <c r="DR169" s="24"/>
      <c r="DS169" s="24"/>
      <c r="DT169" s="24"/>
      <c r="DU169" s="23"/>
      <c r="DV169" s="23"/>
      <c r="DW169" s="23"/>
      <c r="DX169" s="23"/>
      <c r="DY169" s="23"/>
      <c r="DZ169" s="23"/>
      <c r="EA169" s="24"/>
    </row>
    <row r="170" spans="1:131">
      <c r="A170" s="24"/>
      <c r="B170" s="24"/>
      <c r="C170" s="24"/>
      <c r="D170" s="24"/>
      <c r="E170" s="24"/>
      <c r="F170" s="24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4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4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4"/>
      <c r="AW170" s="23"/>
      <c r="AX170" s="23"/>
      <c r="AY170" s="23"/>
      <c r="AZ170" s="23"/>
      <c r="BA170" s="23"/>
      <c r="BB170" s="23"/>
      <c r="BC170" s="23"/>
      <c r="BD170" s="24"/>
      <c r="BE170" s="23"/>
      <c r="BF170" s="23"/>
      <c r="BG170" s="23"/>
      <c r="BH170" s="23"/>
      <c r="BI170" s="23"/>
      <c r="BJ170" s="23"/>
      <c r="BK170" s="23"/>
      <c r="BL170" s="23"/>
      <c r="BM170" s="23"/>
      <c r="BN170" s="24"/>
      <c r="BO170" s="23"/>
      <c r="BP170" s="23"/>
      <c r="BQ170" s="23"/>
      <c r="BR170" s="23"/>
      <c r="BS170" s="24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4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4"/>
      <c r="CS170" s="24"/>
      <c r="CT170" s="24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4"/>
      <c r="DM170" s="23"/>
      <c r="DN170" s="23"/>
      <c r="DO170" s="23"/>
      <c r="DP170" s="23"/>
      <c r="DQ170" s="23"/>
      <c r="DR170" s="24"/>
      <c r="DS170" s="24"/>
      <c r="DT170" s="24"/>
      <c r="DU170" s="23"/>
      <c r="DV170" s="23"/>
      <c r="DW170" s="23"/>
      <c r="DX170" s="23"/>
      <c r="DY170" s="23"/>
      <c r="DZ170" s="23"/>
      <c r="EA170" s="24"/>
    </row>
    <row r="171" spans="1:131">
      <c r="A171" s="24"/>
      <c r="B171" s="24"/>
      <c r="C171" s="24"/>
      <c r="D171" s="24"/>
      <c r="E171" s="24"/>
      <c r="F171" s="24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4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4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4"/>
      <c r="AW171" s="23"/>
      <c r="AX171" s="23"/>
      <c r="AY171" s="23"/>
      <c r="AZ171" s="23"/>
      <c r="BA171" s="23"/>
      <c r="BB171" s="23"/>
      <c r="BC171" s="23"/>
      <c r="BD171" s="24"/>
      <c r="BE171" s="23"/>
      <c r="BF171" s="23"/>
      <c r="BG171" s="23"/>
      <c r="BH171" s="23"/>
      <c r="BI171" s="23"/>
      <c r="BJ171" s="23"/>
      <c r="BK171" s="23"/>
      <c r="BL171" s="23"/>
      <c r="BM171" s="23"/>
      <c r="BN171" s="24"/>
      <c r="BO171" s="23"/>
      <c r="BP171" s="23"/>
      <c r="BQ171" s="23"/>
      <c r="BR171" s="23"/>
      <c r="BS171" s="24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4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4"/>
      <c r="CS171" s="24"/>
      <c r="CT171" s="24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4"/>
      <c r="DM171" s="23"/>
      <c r="DN171" s="23"/>
      <c r="DO171" s="23"/>
      <c r="DP171" s="23"/>
      <c r="DQ171" s="23"/>
      <c r="DR171" s="24"/>
      <c r="DS171" s="24"/>
      <c r="DT171" s="24"/>
      <c r="DU171" s="23"/>
      <c r="DV171" s="23"/>
      <c r="DW171" s="23"/>
      <c r="DX171" s="23"/>
      <c r="DY171" s="23"/>
      <c r="DZ171" s="23"/>
      <c r="EA171" s="24"/>
    </row>
    <row r="172" spans="1:131">
      <c r="A172" s="24"/>
      <c r="B172" s="24"/>
      <c r="C172" s="24"/>
      <c r="D172" s="24"/>
      <c r="E172" s="24"/>
      <c r="F172" s="24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4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4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4"/>
      <c r="AW172" s="23"/>
      <c r="AX172" s="23"/>
      <c r="AY172" s="23"/>
      <c r="AZ172" s="23"/>
      <c r="BA172" s="23"/>
      <c r="BB172" s="23"/>
      <c r="BC172" s="23"/>
      <c r="BD172" s="24"/>
      <c r="BE172" s="23"/>
      <c r="BF172" s="23"/>
      <c r="BG172" s="23"/>
      <c r="BH172" s="23"/>
      <c r="BI172" s="23"/>
      <c r="BJ172" s="23"/>
      <c r="BK172" s="23"/>
      <c r="BL172" s="23"/>
      <c r="BM172" s="23"/>
      <c r="BN172" s="24"/>
      <c r="BO172" s="23"/>
      <c r="BP172" s="23"/>
      <c r="BQ172" s="23"/>
      <c r="BR172" s="23"/>
      <c r="BS172" s="24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4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4"/>
      <c r="CS172" s="24"/>
      <c r="CT172" s="24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4"/>
      <c r="DM172" s="23"/>
      <c r="DN172" s="23"/>
      <c r="DO172" s="23"/>
      <c r="DP172" s="23"/>
      <c r="DQ172" s="23"/>
      <c r="DR172" s="24"/>
      <c r="DS172" s="24"/>
      <c r="DT172" s="24"/>
      <c r="DU172" s="23"/>
      <c r="DV172" s="23"/>
      <c r="DW172" s="23"/>
      <c r="DX172" s="23"/>
      <c r="DY172" s="23"/>
      <c r="DZ172" s="23"/>
      <c r="EA172" s="24"/>
    </row>
    <row r="173" spans="1:131">
      <c r="A173" s="24"/>
      <c r="B173" s="24"/>
      <c r="C173" s="24"/>
      <c r="D173" s="24"/>
      <c r="E173" s="24"/>
      <c r="F173" s="24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4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4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4"/>
      <c r="AW173" s="23"/>
      <c r="AX173" s="23"/>
      <c r="AY173" s="23"/>
      <c r="AZ173" s="23"/>
      <c r="BA173" s="23"/>
      <c r="BB173" s="23"/>
      <c r="BC173" s="23"/>
      <c r="BD173" s="24"/>
      <c r="BE173" s="23"/>
      <c r="BF173" s="23"/>
      <c r="BG173" s="23"/>
      <c r="BH173" s="23"/>
      <c r="BI173" s="23"/>
      <c r="BJ173" s="23"/>
      <c r="BK173" s="23"/>
      <c r="BL173" s="23"/>
      <c r="BM173" s="23"/>
      <c r="BN173" s="24"/>
      <c r="BO173" s="23"/>
      <c r="BP173" s="23"/>
      <c r="BQ173" s="23"/>
      <c r="BR173" s="23"/>
      <c r="BS173" s="24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4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4"/>
      <c r="CS173" s="24"/>
      <c r="CT173" s="24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4"/>
      <c r="DM173" s="23"/>
      <c r="DN173" s="23"/>
      <c r="DO173" s="23"/>
      <c r="DP173" s="23"/>
      <c r="DQ173" s="23"/>
      <c r="DR173" s="24"/>
      <c r="DS173" s="24"/>
      <c r="DT173" s="24"/>
      <c r="DU173" s="23"/>
      <c r="DV173" s="23"/>
      <c r="DW173" s="23"/>
      <c r="DX173" s="23"/>
      <c r="DY173" s="23"/>
      <c r="DZ173" s="23"/>
      <c r="EA173" s="24"/>
    </row>
    <row r="174" spans="1:131">
      <c r="A174" s="24"/>
      <c r="B174" s="24"/>
      <c r="C174" s="24"/>
      <c r="D174" s="24"/>
      <c r="E174" s="24"/>
      <c r="F174" s="24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4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4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4"/>
      <c r="AW174" s="23"/>
      <c r="AX174" s="23"/>
      <c r="AY174" s="23"/>
      <c r="AZ174" s="23"/>
      <c r="BA174" s="23"/>
      <c r="BB174" s="23"/>
      <c r="BC174" s="23"/>
      <c r="BD174" s="24"/>
      <c r="BE174" s="23"/>
      <c r="BF174" s="23"/>
      <c r="BG174" s="23"/>
      <c r="BH174" s="23"/>
      <c r="BI174" s="23"/>
      <c r="BJ174" s="23"/>
      <c r="BK174" s="23"/>
      <c r="BL174" s="23"/>
      <c r="BM174" s="23"/>
      <c r="BN174" s="24"/>
      <c r="BO174" s="23"/>
      <c r="BP174" s="23"/>
      <c r="BQ174" s="23"/>
      <c r="BR174" s="23"/>
      <c r="BS174" s="24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4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4"/>
      <c r="CS174" s="24"/>
      <c r="CT174" s="24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4"/>
      <c r="DM174" s="23"/>
      <c r="DN174" s="23"/>
      <c r="DO174" s="23"/>
      <c r="DP174" s="23"/>
      <c r="DQ174" s="23"/>
      <c r="DR174" s="24"/>
      <c r="DS174" s="24"/>
      <c r="DT174" s="24"/>
      <c r="DU174" s="23"/>
      <c r="DV174" s="23"/>
      <c r="DW174" s="23"/>
      <c r="DX174" s="23"/>
      <c r="DY174" s="23"/>
      <c r="DZ174" s="23"/>
      <c r="EA174" s="24"/>
    </row>
    <row r="175" spans="1:131">
      <c r="A175" s="24"/>
      <c r="B175" s="24"/>
      <c r="C175" s="24"/>
      <c r="D175" s="24"/>
      <c r="E175" s="24"/>
      <c r="F175" s="24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4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4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4"/>
      <c r="AW175" s="23"/>
      <c r="AX175" s="23"/>
      <c r="AY175" s="23"/>
      <c r="AZ175" s="23"/>
      <c r="BA175" s="23"/>
      <c r="BB175" s="23"/>
      <c r="BC175" s="23"/>
      <c r="BD175" s="24"/>
      <c r="BE175" s="23"/>
      <c r="BF175" s="23"/>
      <c r="BG175" s="23"/>
      <c r="BH175" s="23"/>
      <c r="BI175" s="23"/>
      <c r="BJ175" s="23"/>
      <c r="BK175" s="23"/>
      <c r="BL175" s="23"/>
      <c r="BM175" s="23"/>
      <c r="BN175" s="24"/>
      <c r="BO175" s="23"/>
      <c r="BP175" s="23"/>
      <c r="BQ175" s="23"/>
      <c r="BR175" s="23"/>
      <c r="BS175" s="24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4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4"/>
      <c r="CS175" s="24"/>
      <c r="CT175" s="24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4"/>
      <c r="DM175" s="23"/>
      <c r="DN175" s="23"/>
      <c r="DO175" s="23"/>
      <c r="DP175" s="23"/>
      <c r="DQ175" s="23"/>
      <c r="DR175" s="24"/>
      <c r="DS175" s="24"/>
      <c r="DT175" s="24"/>
      <c r="DU175" s="23"/>
      <c r="DV175" s="23"/>
      <c r="DW175" s="23"/>
      <c r="DX175" s="23"/>
      <c r="DY175" s="23"/>
      <c r="DZ175" s="23"/>
      <c r="EA175" s="24"/>
    </row>
    <row r="176" spans="1:131">
      <c r="A176" s="24"/>
      <c r="B176" s="24"/>
      <c r="C176" s="24"/>
      <c r="D176" s="24"/>
      <c r="E176" s="24"/>
      <c r="F176" s="24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4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4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4"/>
      <c r="AW176" s="23"/>
      <c r="AX176" s="23"/>
      <c r="AY176" s="23"/>
      <c r="AZ176" s="23"/>
      <c r="BA176" s="23"/>
      <c r="BB176" s="23"/>
      <c r="BC176" s="23"/>
      <c r="BD176" s="24"/>
      <c r="BE176" s="23"/>
      <c r="BF176" s="23"/>
      <c r="BG176" s="23"/>
      <c r="BH176" s="23"/>
      <c r="BI176" s="23"/>
      <c r="BJ176" s="23"/>
      <c r="BK176" s="23"/>
      <c r="BL176" s="23"/>
      <c r="BM176" s="23"/>
      <c r="BN176" s="24"/>
      <c r="BO176" s="23"/>
      <c r="BP176" s="23"/>
      <c r="BQ176" s="23"/>
      <c r="BR176" s="23"/>
      <c r="BS176" s="24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4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4"/>
      <c r="CS176" s="24"/>
      <c r="CT176" s="24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4"/>
      <c r="DM176" s="23"/>
      <c r="DN176" s="23"/>
      <c r="DO176" s="23"/>
      <c r="DP176" s="23"/>
      <c r="DQ176" s="23"/>
      <c r="DR176" s="24"/>
      <c r="DS176" s="24"/>
      <c r="DT176" s="24"/>
      <c r="DU176" s="23"/>
      <c r="DV176" s="23"/>
      <c r="DW176" s="23"/>
      <c r="DX176" s="23"/>
      <c r="DY176" s="23"/>
      <c r="DZ176" s="23"/>
      <c r="EA176" s="24"/>
    </row>
    <row r="177" spans="1:131">
      <c r="A177" s="24"/>
      <c r="B177" s="24"/>
      <c r="C177" s="24"/>
      <c r="D177" s="24"/>
      <c r="E177" s="24"/>
      <c r="F177" s="24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4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4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4"/>
      <c r="AW177" s="23"/>
      <c r="AX177" s="23"/>
      <c r="AY177" s="23"/>
      <c r="AZ177" s="23"/>
      <c r="BA177" s="23"/>
      <c r="BB177" s="23"/>
      <c r="BC177" s="23"/>
      <c r="BD177" s="24"/>
      <c r="BE177" s="23"/>
      <c r="BF177" s="23"/>
      <c r="BG177" s="23"/>
      <c r="BH177" s="23"/>
      <c r="BI177" s="23"/>
      <c r="BJ177" s="23"/>
      <c r="BK177" s="23"/>
      <c r="BL177" s="23"/>
      <c r="BM177" s="23"/>
      <c r="BN177" s="24"/>
      <c r="BO177" s="23"/>
      <c r="BP177" s="23"/>
      <c r="BQ177" s="23"/>
      <c r="BR177" s="23"/>
      <c r="BS177" s="24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4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4"/>
      <c r="CS177" s="24"/>
      <c r="CT177" s="24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4"/>
      <c r="DM177" s="23"/>
      <c r="DN177" s="23"/>
      <c r="DO177" s="23"/>
      <c r="DP177" s="23"/>
      <c r="DQ177" s="23"/>
      <c r="DR177" s="24"/>
      <c r="DS177" s="24"/>
      <c r="DT177" s="24"/>
      <c r="DU177" s="23"/>
      <c r="DV177" s="23"/>
      <c r="DW177" s="23"/>
      <c r="DX177" s="23"/>
      <c r="DY177" s="23"/>
      <c r="DZ177" s="23"/>
      <c r="EA177" s="24"/>
    </row>
    <row r="178" spans="1:131">
      <c r="A178" s="24"/>
      <c r="B178" s="24"/>
      <c r="C178" s="24"/>
      <c r="D178" s="24"/>
      <c r="E178" s="24"/>
      <c r="F178" s="24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4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4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4"/>
      <c r="AW178" s="23"/>
      <c r="AX178" s="23"/>
      <c r="AY178" s="23"/>
      <c r="AZ178" s="23"/>
      <c r="BA178" s="23"/>
      <c r="BB178" s="23"/>
      <c r="BC178" s="23"/>
      <c r="BD178" s="24"/>
      <c r="BE178" s="23"/>
      <c r="BF178" s="23"/>
      <c r="BG178" s="23"/>
      <c r="BH178" s="23"/>
      <c r="BI178" s="23"/>
      <c r="BJ178" s="23"/>
      <c r="BK178" s="23"/>
      <c r="BL178" s="23"/>
      <c r="BM178" s="23"/>
      <c r="BN178" s="24"/>
      <c r="BO178" s="23"/>
      <c r="BP178" s="23"/>
      <c r="BQ178" s="23"/>
      <c r="BR178" s="23"/>
      <c r="BS178" s="24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4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4"/>
      <c r="CS178" s="24"/>
      <c r="CT178" s="24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4"/>
      <c r="DM178" s="23"/>
      <c r="DN178" s="23"/>
      <c r="DO178" s="23"/>
      <c r="DP178" s="23"/>
      <c r="DQ178" s="23"/>
      <c r="DR178" s="24"/>
      <c r="DS178" s="24"/>
      <c r="DT178" s="24"/>
      <c r="DU178" s="23"/>
      <c r="DV178" s="23"/>
      <c r="DW178" s="23"/>
      <c r="DX178" s="23"/>
      <c r="DY178" s="23"/>
      <c r="DZ178" s="23"/>
      <c r="EA178" s="24"/>
    </row>
    <row r="179" spans="1:131">
      <c r="A179" s="24"/>
      <c r="B179" s="24"/>
      <c r="C179" s="24"/>
      <c r="D179" s="24"/>
      <c r="E179" s="24"/>
      <c r="F179" s="24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4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4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4"/>
      <c r="AW179" s="23"/>
      <c r="AX179" s="23"/>
      <c r="AY179" s="23"/>
      <c r="AZ179" s="23"/>
      <c r="BA179" s="23"/>
      <c r="BB179" s="23"/>
      <c r="BC179" s="23"/>
      <c r="BD179" s="24"/>
      <c r="BE179" s="23"/>
      <c r="BF179" s="23"/>
      <c r="BG179" s="23"/>
      <c r="BH179" s="23"/>
      <c r="BI179" s="23"/>
      <c r="BJ179" s="23"/>
      <c r="BK179" s="23"/>
      <c r="BL179" s="23"/>
      <c r="BM179" s="23"/>
      <c r="BN179" s="24"/>
      <c r="BO179" s="23"/>
      <c r="BP179" s="23"/>
      <c r="BQ179" s="23"/>
      <c r="BR179" s="23"/>
      <c r="BS179" s="24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4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4"/>
      <c r="CS179" s="24"/>
      <c r="CT179" s="24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4"/>
      <c r="DM179" s="23"/>
      <c r="DN179" s="23"/>
      <c r="DO179" s="23"/>
      <c r="DP179" s="23"/>
      <c r="DQ179" s="23"/>
      <c r="DR179" s="24"/>
      <c r="DS179" s="24"/>
      <c r="DT179" s="24"/>
      <c r="DU179" s="23"/>
      <c r="DV179" s="23"/>
      <c r="DW179" s="23"/>
      <c r="DX179" s="23"/>
      <c r="DY179" s="23"/>
      <c r="DZ179" s="23"/>
      <c r="EA179" s="24"/>
    </row>
    <row r="180" spans="1:131">
      <c r="A180" s="24"/>
      <c r="B180" s="24"/>
      <c r="C180" s="24"/>
      <c r="D180" s="24"/>
      <c r="E180" s="24"/>
      <c r="F180" s="24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4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4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4"/>
      <c r="AW180" s="23"/>
      <c r="AX180" s="23"/>
      <c r="AY180" s="23"/>
      <c r="AZ180" s="23"/>
      <c r="BA180" s="23"/>
      <c r="BB180" s="23"/>
      <c r="BC180" s="23"/>
      <c r="BD180" s="24"/>
      <c r="BE180" s="23"/>
      <c r="BF180" s="23"/>
      <c r="BG180" s="23"/>
      <c r="BH180" s="23"/>
      <c r="BI180" s="23"/>
      <c r="BJ180" s="23"/>
      <c r="BK180" s="23"/>
      <c r="BL180" s="23"/>
      <c r="BM180" s="23"/>
      <c r="BN180" s="24"/>
      <c r="BO180" s="23"/>
      <c r="BP180" s="23"/>
      <c r="BQ180" s="23"/>
      <c r="BR180" s="23"/>
      <c r="BS180" s="24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4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4"/>
      <c r="CS180" s="24"/>
      <c r="CT180" s="24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4"/>
      <c r="DM180" s="23"/>
      <c r="DN180" s="23"/>
      <c r="DO180" s="23"/>
      <c r="DP180" s="23"/>
      <c r="DQ180" s="23"/>
      <c r="DR180" s="24"/>
      <c r="DS180" s="24"/>
      <c r="DT180" s="24"/>
      <c r="DU180" s="23"/>
      <c r="DV180" s="23"/>
      <c r="DW180" s="23"/>
      <c r="DX180" s="23"/>
      <c r="DY180" s="23"/>
      <c r="DZ180" s="23"/>
      <c r="EA180" s="24"/>
    </row>
    <row r="181" spans="1:131">
      <c r="A181" s="24"/>
      <c r="B181" s="24"/>
      <c r="C181" s="24"/>
      <c r="D181" s="24"/>
      <c r="E181" s="24"/>
      <c r="F181" s="24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4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4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4"/>
      <c r="AW181" s="23"/>
      <c r="AX181" s="23"/>
      <c r="AY181" s="23"/>
      <c r="AZ181" s="23"/>
      <c r="BA181" s="23"/>
      <c r="BB181" s="23"/>
      <c r="BC181" s="23"/>
      <c r="BD181" s="24"/>
      <c r="BE181" s="23"/>
      <c r="BF181" s="23"/>
      <c r="BG181" s="23"/>
      <c r="BH181" s="23"/>
      <c r="BI181" s="23"/>
      <c r="BJ181" s="23"/>
      <c r="BK181" s="23"/>
      <c r="BL181" s="23"/>
      <c r="BM181" s="23"/>
      <c r="BN181" s="24"/>
      <c r="BO181" s="23"/>
      <c r="BP181" s="23"/>
      <c r="BQ181" s="23"/>
      <c r="BR181" s="23"/>
      <c r="BS181" s="24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4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4"/>
      <c r="CS181" s="24"/>
      <c r="CT181" s="24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4"/>
      <c r="DM181" s="23"/>
      <c r="DN181" s="23"/>
      <c r="DO181" s="23"/>
      <c r="DP181" s="23"/>
      <c r="DQ181" s="23"/>
      <c r="DR181" s="24"/>
      <c r="DS181" s="24"/>
      <c r="DT181" s="24"/>
      <c r="DU181" s="23"/>
      <c r="DV181" s="23"/>
      <c r="DW181" s="23"/>
      <c r="DX181" s="23"/>
      <c r="DY181" s="23"/>
      <c r="DZ181" s="23"/>
      <c r="EA181" s="24"/>
    </row>
    <row r="182" spans="1:131">
      <c r="A182" s="24"/>
      <c r="B182" s="24"/>
      <c r="C182" s="24"/>
      <c r="D182" s="24"/>
      <c r="E182" s="24"/>
      <c r="F182" s="24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4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4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4"/>
      <c r="AW182" s="23"/>
      <c r="AX182" s="23"/>
      <c r="AY182" s="23"/>
      <c r="AZ182" s="23"/>
      <c r="BA182" s="23"/>
      <c r="BB182" s="23"/>
      <c r="BC182" s="23"/>
      <c r="BD182" s="24"/>
      <c r="BE182" s="23"/>
      <c r="BF182" s="23"/>
      <c r="BG182" s="23"/>
      <c r="BH182" s="23"/>
      <c r="BI182" s="23"/>
      <c r="BJ182" s="23"/>
      <c r="BK182" s="23"/>
      <c r="BL182" s="23"/>
      <c r="BM182" s="23"/>
      <c r="BN182" s="24"/>
      <c r="BO182" s="23"/>
      <c r="BP182" s="23"/>
      <c r="BQ182" s="23"/>
      <c r="BR182" s="23"/>
      <c r="BS182" s="24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4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4"/>
      <c r="CS182" s="24"/>
      <c r="CT182" s="24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4"/>
      <c r="DM182" s="23"/>
      <c r="DN182" s="23"/>
      <c r="DO182" s="23"/>
      <c r="DP182" s="23"/>
      <c r="DQ182" s="23"/>
      <c r="DR182" s="24"/>
      <c r="DS182" s="24"/>
      <c r="DT182" s="24"/>
      <c r="DU182" s="23"/>
      <c r="DV182" s="23"/>
      <c r="DW182" s="23"/>
      <c r="DX182" s="23"/>
      <c r="DY182" s="23"/>
      <c r="DZ182" s="23"/>
      <c r="EA182" s="24"/>
    </row>
    <row r="183" spans="1:131">
      <c r="A183" s="24"/>
      <c r="B183" s="24"/>
      <c r="C183" s="24"/>
      <c r="D183" s="24"/>
      <c r="E183" s="24"/>
      <c r="F183" s="24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4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4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4"/>
      <c r="AW183" s="23"/>
      <c r="AX183" s="23"/>
      <c r="AY183" s="23"/>
      <c r="AZ183" s="23"/>
      <c r="BA183" s="23"/>
      <c r="BB183" s="23"/>
      <c r="BC183" s="23"/>
      <c r="BD183" s="24"/>
      <c r="BE183" s="23"/>
      <c r="BF183" s="23"/>
      <c r="BG183" s="23"/>
      <c r="BH183" s="23"/>
      <c r="BI183" s="23"/>
      <c r="BJ183" s="23"/>
      <c r="BK183" s="23"/>
      <c r="BL183" s="23"/>
      <c r="BM183" s="23"/>
      <c r="BN183" s="24"/>
      <c r="BO183" s="23"/>
      <c r="BP183" s="23"/>
      <c r="BQ183" s="23"/>
      <c r="BR183" s="23"/>
      <c r="BS183" s="24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4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4"/>
      <c r="CS183" s="24"/>
      <c r="CT183" s="24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4"/>
      <c r="DM183" s="23"/>
      <c r="DN183" s="23"/>
      <c r="DO183" s="23"/>
      <c r="DP183" s="23"/>
      <c r="DQ183" s="23"/>
      <c r="DR183" s="24"/>
      <c r="DS183" s="24"/>
      <c r="DT183" s="24"/>
      <c r="DU183" s="23"/>
      <c r="DV183" s="23"/>
      <c r="DW183" s="23"/>
      <c r="DX183" s="23"/>
      <c r="DY183" s="23"/>
      <c r="DZ183" s="23"/>
      <c r="EA183" s="24"/>
    </row>
    <row r="184" spans="1:131">
      <c r="A184" s="24"/>
      <c r="B184" s="24"/>
      <c r="C184" s="24"/>
      <c r="D184" s="24"/>
      <c r="E184" s="24"/>
      <c r="F184" s="24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4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4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4"/>
      <c r="AW184" s="23"/>
      <c r="AX184" s="23"/>
      <c r="AY184" s="23"/>
      <c r="AZ184" s="23"/>
      <c r="BA184" s="23"/>
      <c r="BB184" s="23"/>
      <c r="BC184" s="23"/>
      <c r="BD184" s="24"/>
      <c r="BE184" s="23"/>
      <c r="BF184" s="23"/>
      <c r="BG184" s="23"/>
      <c r="BH184" s="23"/>
      <c r="BI184" s="23"/>
      <c r="BJ184" s="23"/>
      <c r="BK184" s="23"/>
      <c r="BL184" s="23"/>
      <c r="BM184" s="23"/>
      <c r="BN184" s="24"/>
      <c r="BO184" s="23"/>
      <c r="BP184" s="23"/>
      <c r="BQ184" s="23"/>
      <c r="BR184" s="23"/>
      <c r="BS184" s="24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4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4"/>
      <c r="CS184" s="24"/>
      <c r="CT184" s="24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4"/>
      <c r="DM184" s="23"/>
      <c r="DN184" s="23"/>
      <c r="DO184" s="23"/>
      <c r="DP184" s="23"/>
      <c r="DQ184" s="23"/>
      <c r="DR184" s="24"/>
      <c r="DS184" s="24"/>
      <c r="DT184" s="24"/>
      <c r="DU184" s="23"/>
      <c r="DV184" s="23"/>
      <c r="DW184" s="23"/>
      <c r="DX184" s="23"/>
      <c r="DY184" s="23"/>
      <c r="DZ184" s="23"/>
      <c r="EA184" s="24"/>
    </row>
    <row r="185" spans="1:131">
      <c r="A185" s="24"/>
      <c r="B185" s="24"/>
      <c r="C185" s="24"/>
      <c r="D185" s="24"/>
      <c r="E185" s="24"/>
      <c r="F185" s="24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4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4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4"/>
      <c r="AW185" s="23"/>
      <c r="AX185" s="23"/>
      <c r="AY185" s="23"/>
      <c r="AZ185" s="23"/>
      <c r="BA185" s="23"/>
      <c r="BB185" s="23"/>
      <c r="BC185" s="23"/>
      <c r="BD185" s="24"/>
      <c r="BE185" s="23"/>
      <c r="BF185" s="23"/>
      <c r="BG185" s="23"/>
      <c r="BH185" s="23"/>
      <c r="BI185" s="23"/>
      <c r="BJ185" s="23"/>
      <c r="BK185" s="23"/>
      <c r="BL185" s="23"/>
      <c r="BM185" s="23"/>
      <c r="BN185" s="24"/>
      <c r="BO185" s="23"/>
      <c r="BP185" s="23"/>
      <c r="BQ185" s="23"/>
      <c r="BR185" s="23"/>
      <c r="BS185" s="24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4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4"/>
      <c r="CS185" s="24"/>
      <c r="CT185" s="24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4"/>
      <c r="DM185" s="23"/>
      <c r="DN185" s="23"/>
      <c r="DO185" s="23"/>
      <c r="DP185" s="23"/>
      <c r="DQ185" s="23"/>
      <c r="DR185" s="24"/>
      <c r="DS185" s="24"/>
      <c r="DT185" s="24"/>
      <c r="DU185" s="23"/>
      <c r="DV185" s="23"/>
      <c r="DW185" s="23"/>
      <c r="DX185" s="23"/>
      <c r="DY185" s="23"/>
      <c r="DZ185" s="23"/>
      <c r="EA185" s="24"/>
    </row>
    <row r="186" spans="1:131">
      <c r="A186" s="24"/>
      <c r="B186" s="24"/>
      <c r="C186" s="24"/>
      <c r="D186" s="24"/>
      <c r="E186" s="24"/>
      <c r="F186" s="24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4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4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4"/>
      <c r="AW186" s="23"/>
      <c r="AX186" s="23"/>
      <c r="AY186" s="23"/>
      <c r="AZ186" s="23"/>
      <c r="BA186" s="23"/>
      <c r="BB186" s="23"/>
      <c r="BC186" s="23"/>
      <c r="BD186" s="24"/>
      <c r="BE186" s="23"/>
      <c r="BF186" s="23"/>
      <c r="BG186" s="23"/>
      <c r="BH186" s="23"/>
      <c r="BI186" s="23"/>
      <c r="BJ186" s="23"/>
      <c r="BK186" s="23"/>
      <c r="BL186" s="23"/>
      <c r="BM186" s="23"/>
      <c r="BN186" s="24"/>
      <c r="BO186" s="23"/>
      <c r="BP186" s="23"/>
      <c r="BQ186" s="23"/>
      <c r="BR186" s="23"/>
      <c r="BS186" s="24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4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4"/>
      <c r="CS186" s="24"/>
      <c r="CT186" s="24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4"/>
      <c r="DM186" s="23"/>
      <c r="DN186" s="23"/>
      <c r="DO186" s="23"/>
      <c r="DP186" s="23"/>
      <c r="DQ186" s="23"/>
      <c r="DR186" s="24"/>
      <c r="DS186" s="24"/>
      <c r="DT186" s="24"/>
      <c r="DU186" s="23"/>
      <c r="DV186" s="23"/>
      <c r="DW186" s="23"/>
      <c r="DX186" s="23"/>
      <c r="DY186" s="23"/>
      <c r="DZ186" s="23"/>
      <c r="EA186" s="24"/>
    </row>
    <row r="187" spans="1:131">
      <c r="A187" s="24"/>
      <c r="B187" s="24"/>
      <c r="C187" s="24"/>
      <c r="D187" s="24"/>
      <c r="E187" s="24"/>
      <c r="F187" s="24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4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4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4"/>
      <c r="AW187" s="23"/>
      <c r="AX187" s="23"/>
      <c r="AY187" s="23"/>
      <c r="AZ187" s="23"/>
      <c r="BA187" s="23"/>
      <c r="BB187" s="23"/>
      <c r="BC187" s="23"/>
      <c r="BD187" s="24"/>
      <c r="BE187" s="23"/>
      <c r="BF187" s="23"/>
      <c r="BG187" s="23"/>
      <c r="BH187" s="23"/>
      <c r="BI187" s="23"/>
      <c r="BJ187" s="23"/>
      <c r="BK187" s="23"/>
      <c r="BL187" s="23"/>
      <c r="BM187" s="23"/>
      <c r="BN187" s="24"/>
      <c r="BO187" s="23"/>
      <c r="BP187" s="23"/>
      <c r="BQ187" s="23"/>
      <c r="BR187" s="23"/>
      <c r="BS187" s="24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4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4"/>
      <c r="CS187" s="24"/>
      <c r="CT187" s="24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4"/>
      <c r="DM187" s="23"/>
      <c r="DN187" s="23"/>
      <c r="DO187" s="23"/>
      <c r="DP187" s="23"/>
      <c r="DQ187" s="23"/>
      <c r="DR187" s="24"/>
      <c r="DS187" s="24"/>
      <c r="DT187" s="24"/>
      <c r="DU187" s="23"/>
      <c r="DV187" s="23"/>
      <c r="DW187" s="23"/>
      <c r="DX187" s="23"/>
      <c r="DY187" s="23"/>
      <c r="DZ187" s="23"/>
      <c r="EA187" s="24"/>
    </row>
    <row r="188" spans="1:131">
      <c r="A188" s="24"/>
      <c r="B188" s="24"/>
      <c r="C188" s="24"/>
      <c r="D188" s="24"/>
      <c r="E188" s="24"/>
      <c r="F188" s="24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4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4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4"/>
      <c r="AW188" s="23"/>
      <c r="AX188" s="23"/>
      <c r="AY188" s="23"/>
      <c r="AZ188" s="23"/>
      <c r="BA188" s="23"/>
      <c r="BB188" s="23"/>
      <c r="BC188" s="23"/>
      <c r="BD188" s="24"/>
      <c r="BE188" s="23"/>
      <c r="BF188" s="23"/>
      <c r="BG188" s="23"/>
      <c r="BH188" s="23"/>
      <c r="BI188" s="23"/>
      <c r="BJ188" s="23"/>
      <c r="BK188" s="23"/>
      <c r="BL188" s="23"/>
      <c r="BM188" s="23"/>
      <c r="BN188" s="24"/>
      <c r="BO188" s="23"/>
      <c r="BP188" s="23"/>
      <c r="BQ188" s="23"/>
      <c r="BR188" s="23"/>
      <c r="BS188" s="24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4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4"/>
      <c r="CS188" s="24"/>
      <c r="CT188" s="24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4"/>
      <c r="DM188" s="23"/>
      <c r="DN188" s="23"/>
      <c r="DO188" s="23"/>
      <c r="DP188" s="23"/>
      <c r="DQ188" s="23"/>
      <c r="DR188" s="24"/>
      <c r="DS188" s="24"/>
      <c r="DT188" s="24"/>
      <c r="DU188" s="23"/>
      <c r="DV188" s="23"/>
      <c r="DW188" s="23"/>
      <c r="DX188" s="23"/>
      <c r="DY188" s="23"/>
      <c r="DZ188" s="23"/>
      <c r="EA188" s="24"/>
    </row>
    <row r="189" spans="1:131">
      <c r="A189" s="24"/>
      <c r="B189" s="24"/>
      <c r="C189" s="24"/>
      <c r="D189" s="24"/>
      <c r="E189" s="24"/>
      <c r="F189" s="24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4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4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4"/>
      <c r="AW189" s="23"/>
      <c r="AX189" s="23"/>
      <c r="AY189" s="23"/>
      <c r="AZ189" s="23"/>
      <c r="BA189" s="23"/>
      <c r="BB189" s="23"/>
      <c r="BC189" s="23"/>
      <c r="BD189" s="24"/>
      <c r="BE189" s="23"/>
      <c r="BF189" s="23"/>
      <c r="BG189" s="23"/>
      <c r="BH189" s="23"/>
      <c r="BI189" s="23"/>
      <c r="BJ189" s="23"/>
      <c r="BK189" s="23"/>
      <c r="BL189" s="23"/>
      <c r="BM189" s="23"/>
      <c r="BN189" s="24"/>
      <c r="BO189" s="23"/>
      <c r="BP189" s="23"/>
      <c r="BQ189" s="23"/>
      <c r="BR189" s="23"/>
      <c r="BS189" s="24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4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4"/>
      <c r="CS189" s="24"/>
      <c r="CT189" s="24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4"/>
      <c r="DM189" s="23"/>
      <c r="DN189" s="23"/>
      <c r="DO189" s="23"/>
      <c r="DP189" s="23"/>
      <c r="DQ189" s="23"/>
      <c r="DR189" s="24"/>
      <c r="DS189" s="24"/>
      <c r="DT189" s="24"/>
      <c r="DU189" s="23"/>
      <c r="DV189" s="23"/>
      <c r="DW189" s="23"/>
      <c r="DX189" s="23"/>
      <c r="DY189" s="23"/>
      <c r="DZ189" s="23"/>
      <c r="EA189" s="24"/>
    </row>
    <row r="190" spans="1:131">
      <c r="A190" s="24"/>
      <c r="B190" s="24"/>
      <c r="C190" s="24"/>
      <c r="D190" s="24"/>
      <c r="E190" s="24"/>
      <c r="F190" s="24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4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4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4"/>
      <c r="AW190" s="23"/>
      <c r="AX190" s="23"/>
      <c r="AY190" s="23"/>
      <c r="AZ190" s="23"/>
      <c r="BA190" s="23"/>
      <c r="BB190" s="23"/>
      <c r="BC190" s="23"/>
      <c r="BD190" s="24"/>
      <c r="BE190" s="23"/>
      <c r="BF190" s="23"/>
      <c r="BG190" s="23"/>
      <c r="BH190" s="23"/>
      <c r="BI190" s="23"/>
      <c r="BJ190" s="23"/>
      <c r="BK190" s="23"/>
      <c r="BL190" s="23"/>
      <c r="BM190" s="23"/>
      <c r="BN190" s="24"/>
      <c r="BO190" s="23"/>
      <c r="BP190" s="23"/>
      <c r="BQ190" s="23"/>
      <c r="BR190" s="23"/>
      <c r="BS190" s="24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4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4"/>
      <c r="CS190" s="24"/>
      <c r="CT190" s="24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4"/>
      <c r="DM190" s="23"/>
      <c r="DN190" s="23"/>
      <c r="DO190" s="23"/>
      <c r="DP190" s="23"/>
      <c r="DQ190" s="23"/>
      <c r="DR190" s="24"/>
      <c r="DS190" s="24"/>
      <c r="DT190" s="24"/>
      <c r="DU190" s="23"/>
      <c r="DV190" s="23"/>
      <c r="DW190" s="23"/>
      <c r="DX190" s="23"/>
      <c r="DY190" s="23"/>
      <c r="DZ190" s="23"/>
      <c r="EA190" s="24"/>
    </row>
    <row r="191" spans="1:131">
      <c r="A191" s="24"/>
      <c r="B191" s="24"/>
      <c r="C191" s="24"/>
      <c r="D191" s="24"/>
      <c r="E191" s="24"/>
      <c r="F191" s="24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4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4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4"/>
      <c r="AW191" s="23"/>
      <c r="AX191" s="23"/>
      <c r="AY191" s="23"/>
      <c r="AZ191" s="23"/>
      <c r="BA191" s="23"/>
      <c r="BB191" s="23"/>
      <c r="BC191" s="23"/>
      <c r="BD191" s="24"/>
      <c r="BE191" s="23"/>
      <c r="BF191" s="23"/>
      <c r="BG191" s="23"/>
      <c r="BH191" s="23"/>
      <c r="BI191" s="23"/>
      <c r="BJ191" s="23"/>
      <c r="BK191" s="23"/>
      <c r="BL191" s="23"/>
      <c r="BM191" s="23"/>
      <c r="BN191" s="24"/>
      <c r="BO191" s="23"/>
      <c r="BP191" s="23"/>
      <c r="BQ191" s="23"/>
      <c r="BR191" s="23"/>
      <c r="BS191" s="24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4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4"/>
      <c r="CS191" s="24"/>
      <c r="CT191" s="24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4"/>
      <c r="DM191" s="23"/>
      <c r="DN191" s="23"/>
      <c r="DO191" s="23"/>
      <c r="DP191" s="23"/>
      <c r="DQ191" s="23"/>
      <c r="DR191" s="24"/>
      <c r="DS191" s="24"/>
      <c r="DT191" s="24"/>
      <c r="DU191" s="23"/>
      <c r="DV191" s="23"/>
      <c r="DW191" s="23"/>
      <c r="DX191" s="23"/>
      <c r="DY191" s="23"/>
      <c r="DZ191" s="23"/>
      <c r="EA191" s="24"/>
    </row>
    <row r="192" spans="1:131">
      <c r="A192" s="24"/>
      <c r="B192" s="24"/>
      <c r="C192" s="24"/>
      <c r="D192" s="24"/>
      <c r="E192" s="24"/>
      <c r="F192" s="24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4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4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4"/>
      <c r="AW192" s="23"/>
      <c r="AX192" s="23"/>
      <c r="AY192" s="23"/>
      <c r="AZ192" s="23"/>
      <c r="BA192" s="23"/>
      <c r="BB192" s="23"/>
      <c r="BC192" s="23"/>
      <c r="BD192" s="24"/>
      <c r="BE192" s="23"/>
      <c r="BF192" s="23"/>
      <c r="BG192" s="23"/>
      <c r="BH192" s="23"/>
      <c r="BI192" s="23"/>
      <c r="BJ192" s="23"/>
      <c r="BK192" s="23"/>
      <c r="BL192" s="23"/>
      <c r="BM192" s="23"/>
      <c r="BN192" s="24"/>
      <c r="BO192" s="23"/>
      <c r="BP192" s="23"/>
      <c r="BQ192" s="23"/>
      <c r="BR192" s="23"/>
      <c r="BS192" s="24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4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4"/>
      <c r="CS192" s="24"/>
      <c r="CT192" s="24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4"/>
      <c r="DM192" s="23"/>
      <c r="DN192" s="23"/>
      <c r="DO192" s="23"/>
      <c r="DP192" s="23"/>
      <c r="DQ192" s="23"/>
      <c r="DR192" s="24"/>
      <c r="DS192" s="24"/>
      <c r="DT192" s="24"/>
      <c r="DU192" s="23"/>
      <c r="DV192" s="23"/>
      <c r="DW192" s="23"/>
      <c r="DX192" s="23"/>
      <c r="DY192" s="23"/>
      <c r="DZ192" s="23"/>
      <c r="EA192" s="24"/>
    </row>
    <row r="193" spans="1:131">
      <c r="A193" s="24"/>
      <c r="B193" s="24"/>
      <c r="C193" s="24"/>
      <c r="D193" s="24"/>
      <c r="E193" s="24"/>
      <c r="F193" s="24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4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4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4"/>
      <c r="AW193" s="23"/>
      <c r="AX193" s="23"/>
      <c r="AY193" s="23"/>
      <c r="AZ193" s="23"/>
      <c r="BA193" s="23"/>
      <c r="BB193" s="23"/>
      <c r="BC193" s="23"/>
      <c r="BD193" s="24"/>
      <c r="BE193" s="23"/>
      <c r="BF193" s="23"/>
      <c r="BG193" s="23"/>
      <c r="BH193" s="23"/>
      <c r="BI193" s="23"/>
      <c r="BJ193" s="23"/>
      <c r="BK193" s="23"/>
      <c r="BL193" s="23"/>
      <c r="BM193" s="23"/>
      <c r="BN193" s="24"/>
      <c r="BO193" s="23"/>
      <c r="BP193" s="23"/>
      <c r="BQ193" s="23"/>
      <c r="BR193" s="23"/>
      <c r="BS193" s="24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4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4"/>
      <c r="CS193" s="24"/>
      <c r="CT193" s="24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4"/>
      <c r="DM193" s="23"/>
      <c r="DN193" s="23"/>
      <c r="DO193" s="23"/>
      <c r="DP193" s="23"/>
      <c r="DQ193" s="23"/>
      <c r="DR193" s="24"/>
      <c r="DS193" s="24"/>
      <c r="DT193" s="24"/>
      <c r="DU193" s="23"/>
      <c r="DV193" s="23"/>
      <c r="DW193" s="23"/>
      <c r="DX193" s="23"/>
      <c r="DY193" s="23"/>
      <c r="DZ193" s="23"/>
      <c r="EA193" s="24"/>
    </row>
    <row r="194" spans="1:131">
      <c r="A194" s="24"/>
      <c r="B194" s="24"/>
      <c r="C194" s="24"/>
      <c r="D194" s="24"/>
      <c r="E194" s="24"/>
      <c r="F194" s="24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4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4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4"/>
      <c r="AW194" s="23"/>
      <c r="AX194" s="23"/>
      <c r="AY194" s="23"/>
      <c r="AZ194" s="23"/>
      <c r="BA194" s="23"/>
      <c r="BB194" s="23"/>
      <c r="BC194" s="23"/>
      <c r="BD194" s="24"/>
      <c r="BE194" s="23"/>
      <c r="BF194" s="23"/>
      <c r="BG194" s="23"/>
      <c r="BH194" s="23"/>
      <c r="BI194" s="23"/>
      <c r="BJ194" s="23"/>
      <c r="BK194" s="23"/>
      <c r="BL194" s="23"/>
      <c r="BM194" s="23"/>
      <c r="BN194" s="24"/>
      <c r="BO194" s="23"/>
      <c r="BP194" s="23"/>
      <c r="BQ194" s="23"/>
      <c r="BR194" s="23"/>
      <c r="BS194" s="24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4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4"/>
      <c r="CS194" s="24"/>
      <c r="CT194" s="24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4"/>
      <c r="DM194" s="23"/>
      <c r="DN194" s="23"/>
      <c r="DO194" s="23"/>
      <c r="DP194" s="23"/>
      <c r="DQ194" s="23"/>
      <c r="DR194" s="24"/>
      <c r="DS194" s="24"/>
      <c r="DT194" s="24"/>
      <c r="DU194" s="23"/>
      <c r="DV194" s="23"/>
      <c r="DW194" s="23"/>
      <c r="DX194" s="23"/>
      <c r="DY194" s="23"/>
      <c r="DZ194" s="23"/>
      <c r="EA194" s="24"/>
    </row>
    <row r="195" spans="1:131">
      <c r="A195" s="24"/>
      <c r="B195" s="24"/>
      <c r="C195" s="24"/>
      <c r="D195" s="24"/>
      <c r="E195" s="24"/>
      <c r="F195" s="24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4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4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4"/>
      <c r="AW195" s="23"/>
      <c r="AX195" s="23"/>
      <c r="AY195" s="23"/>
      <c r="AZ195" s="23"/>
      <c r="BA195" s="23"/>
      <c r="BB195" s="23"/>
      <c r="BC195" s="23"/>
      <c r="BD195" s="24"/>
      <c r="BE195" s="23"/>
      <c r="BF195" s="23"/>
      <c r="BG195" s="23"/>
      <c r="BH195" s="23"/>
      <c r="BI195" s="23"/>
      <c r="BJ195" s="23"/>
      <c r="BK195" s="23"/>
      <c r="BL195" s="23"/>
      <c r="BM195" s="23"/>
      <c r="BN195" s="24"/>
      <c r="BO195" s="23"/>
      <c r="BP195" s="23"/>
      <c r="BQ195" s="23"/>
      <c r="BR195" s="23"/>
      <c r="BS195" s="24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4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4"/>
      <c r="CS195" s="24"/>
      <c r="CT195" s="24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4"/>
      <c r="DM195" s="23"/>
      <c r="DN195" s="23"/>
      <c r="DO195" s="23"/>
      <c r="DP195" s="23"/>
      <c r="DQ195" s="23"/>
      <c r="DR195" s="24"/>
      <c r="DS195" s="24"/>
      <c r="DT195" s="24"/>
      <c r="DU195" s="23"/>
      <c r="DV195" s="23"/>
      <c r="DW195" s="23"/>
      <c r="DX195" s="23"/>
      <c r="DY195" s="23"/>
      <c r="DZ195" s="23"/>
      <c r="EA195" s="24"/>
    </row>
    <row r="196" spans="1:131">
      <c r="A196" s="24"/>
      <c r="B196" s="24"/>
      <c r="C196" s="24"/>
      <c r="D196" s="24"/>
      <c r="E196" s="24"/>
      <c r="F196" s="24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4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4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4"/>
      <c r="AW196" s="23"/>
      <c r="AX196" s="23"/>
      <c r="AY196" s="23"/>
      <c r="AZ196" s="23"/>
      <c r="BA196" s="23"/>
      <c r="BB196" s="23"/>
      <c r="BC196" s="23"/>
      <c r="BD196" s="24"/>
      <c r="BE196" s="23"/>
      <c r="BF196" s="23"/>
      <c r="BG196" s="23"/>
      <c r="BH196" s="23"/>
      <c r="BI196" s="23"/>
      <c r="BJ196" s="23"/>
      <c r="BK196" s="23"/>
      <c r="BL196" s="23"/>
      <c r="BM196" s="23"/>
      <c r="BN196" s="24"/>
      <c r="BO196" s="23"/>
      <c r="BP196" s="23"/>
      <c r="BQ196" s="23"/>
      <c r="BR196" s="23"/>
      <c r="BS196" s="24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4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4"/>
      <c r="CS196" s="24"/>
      <c r="CT196" s="24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4"/>
      <c r="DM196" s="23"/>
      <c r="DN196" s="23"/>
      <c r="DO196" s="23"/>
      <c r="DP196" s="23"/>
      <c r="DQ196" s="23"/>
      <c r="DR196" s="24"/>
      <c r="DS196" s="24"/>
      <c r="DT196" s="24"/>
      <c r="DU196" s="23"/>
      <c r="DV196" s="23"/>
      <c r="DW196" s="23"/>
      <c r="DX196" s="23"/>
      <c r="DY196" s="23"/>
      <c r="DZ196" s="23"/>
      <c r="EA196" s="24"/>
    </row>
    <row r="197" spans="1:131">
      <c r="A197" s="24"/>
      <c r="B197" s="24"/>
      <c r="C197" s="24"/>
      <c r="D197" s="24"/>
      <c r="E197" s="24"/>
      <c r="F197" s="24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4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4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4"/>
      <c r="AW197" s="23"/>
      <c r="AX197" s="23"/>
      <c r="AY197" s="23"/>
      <c r="AZ197" s="23"/>
      <c r="BA197" s="23"/>
      <c r="BB197" s="23"/>
      <c r="BC197" s="23"/>
      <c r="BD197" s="24"/>
      <c r="BE197" s="23"/>
      <c r="BF197" s="23"/>
      <c r="BG197" s="23"/>
      <c r="BH197" s="23"/>
      <c r="BI197" s="23"/>
      <c r="BJ197" s="23"/>
      <c r="BK197" s="23"/>
      <c r="BL197" s="23"/>
      <c r="BM197" s="23"/>
      <c r="BN197" s="24"/>
      <c r="BO197" s="23"/>
      <c r="BP197" s="23"/>
      <c r="BQ197" s="23"/>
      <c r="BR197" s="23"/>
      <c r="BS197" s="24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4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4"/>
      <c r="CS197" s="24"/>
      <c r="CT197" s="24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4"/>
      <c r="DM197" s="23"/>
      <c r="DN197" s="23"/>
      <c r="DO197" s="23"/>
      <c r="DP197" s="23"/>
      <c r="DQ197" s="23"/>
      <c r="DR197" s="24"/>
      <c r="DS197" s="24"/>
      <c r="DT197" s="24"/>
      <c r="DU197" s="23"/>
      <c r="DV197" s="23"/>
      <c r="DW197" s="23"/>
      <c r="DX197" s="23"/>
      <c r="DY197" s="23"/>
      <c r="DZ197" s="23"/>
      <c r="EA197" s="24"/>
    </row>
    <row r="198" spans="1:131">
      <c r="A198" s="24"/>
      <c r="B198" s="24"/>
      <c r="C198" s="24"/>
      <c r="D198" s="24"/>
      <c r="E198" s="24"/>
      <c r="F198" s="24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4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4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4"/>
      <c r="AW198" s="23"/>
      <c r="AX198" s="23"/>
      <c r="AY198" s="23"/>
      <c r="AZ198" s="23"/>
      <c r="BA198" s="23"/>
      <c r="BB198" s="23"/>
      <c r="BC198" s="23"/>
      <c r="BD198" s="24"/>
      <c r="BE198" s="23"/>
      <c r="BF198" s="23"/>
      <c r="BG198" s="23"/>
      <c r="BH198" s="23"/>
      <c r="BI198" s="23"/>
      <c r="BJ198" s="23"/>
      <c r="BK198" s="23"/>
      <c r="BL198" s="23"/>
      <c r="BM198" s="23"/>
      <c r="BN198" s="24"/>
      <c r="BO198" s="23"/>
      <c r="BP198" s="23"/>
      <c r="BQ198" s="23"/>
      <c r="BR198" s="23"/>
      <c r="BS198" s="24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4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4"/>
      <c r="CS198" s="24"/>
      <c r="CT198" s="24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4"/>
      <c r="DM198" s="23"/>
      <c r="DN198" s="23"/>
      <c r="DO198" s="23"/>
      <c r="DP198" s="23"/>
      <c r="DQ198" s="23"/>
      <c r="DR198" s="24"/>
      <c r="DS198" s="24"/>
      <c r="DT198" s="24"/>
      <c r="DU198" s="23"/>
      <c r="DV198" s="23"/>
      <c r="DW198" s="23"/>
      <c r="DX198" s="23"/>
      <c r="DY198" s="23"/>
      <c r="DZ198" s="23"/>
      <c r="EA198" s="24"/>
    </row>
    <row r="199" spans="1:131">
      <c r="A199" s="24"/>
      <c r="B199" s="24"/>
      <c r="C199" s="24"/>
      <c r="D199" s="24"/>
      <c r="E199" s="24"/>
      <c r="F199" s="24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4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4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4"/>
      <c r="AW199" s="23"/>
      <c r="AX199" s="23"/>
      <c r="AY199" s="23"/>
      <c r="AZ199" s="23"/>
      <c r="BA199" s="23"/>
      <c r="BB199" s="23"/>
      <c r="BC199" s="23"/>
      <c r="BD199" s="24"/>
      <c r="BE199" s="23"/>
      <c r="BF199" s="23"/>
      <c r="BG199" s="23"/>
      <c r="BH199" s="23"/>
      <c r="BI199" s="23"/>
      <c r="BJ199" s="23"/>
      <c r="BK199" s="23"/>
      <c r="BL199" s="23"/>
      <c r="BM199" s="23"/>
      <c r="BN199" s="24"/>
      <c r="BO199" s="23"/>
      <c r="BP199" s="23"/>
      <c r="BQ199" s="23"/>
      <c r="BR199" s="23"/>
      <c r="BS199" s="24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4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4"/>
      <c r="CS199" s="24"/>
      <c r="CT199" s="24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4"/>
      <c r="DM199" s="23"/>
      <c r="DN199" s="23"/>
      <c r="DO199" s="23"/>
      <c r="DP199" s="23"/>
      <c r="DQ199" s="23"/>
      <c r="DR199" s="24"/>
      <c r="DS199" s="24"/>
      <c r="DT199" s="24"/>
      <c r="DU199" s="23"/>
      <c r="DV199" s="23"/>
      <c r="DW199" s="23"/>
      <c r="DX199" s="23"/>
      <c r="DY199" s="23"/>
      <c r="DZ199" s="23"/>
      <c r="EA199" s="24"/>
    </row>
    <row r="200" spans="1:131">
      <c r="A200" s="24"/>
      <c r="B200" s="24"/>
      <c r="C200" s="24"/>
      <c r="D200" s="24"/>
      <c r="E200" s="24"/>
      <c r="F200" s="24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4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4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4"/>
      <c r="AW200" s="23"/>
      <c r="AX200" s="23"/>
      <c r="AY200" s="23"/>
      <c r="AZ200" s="23"/>
      <c r="BA200" s="23"/>
      <c r="BB200" s="23"/>
      <c r="BC200" s="23"/>
      <c r="BD200" s="24"/>
      <c r="BE200" s="23"/>
      <c r="BF200" s="23"/>
      <c r="BG200" s="23"/>
      <c r="BH200" s="23"/>
      <c r="BI200" s="23"/>
      <c r="BJ200" s="23"/>
      <c r="BK200" s="23"/>
      <c r="BL200" s="23"/>
      <c r="BM200" s="23"/>
      <c r="BN200" s="24"/>
      <c r="BO200" s="23"/>
      <c r="BP200" s="23"/>
      <c r="BQ200" s="23"/>
      <c r="BR200" s="23"/>
      <c r="BS200" s="24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4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4"/>
      <c r="CS200" s="24"/>
      <c r="CT200" s="24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4"/>
      <c r="DM200" s="23"/>
      <c r="DN200" s="23"/>
      <c r="DO200" s="23"/>
      <c r="DP200" s="23"/>
      <c r="DQ200" s="23"/>
      <c r="DR200" s="24"/>
      <c r="DS200" s="24"/>
      <c r="DT200" s="24"/>
      <c r="DU200" s="23"/>
      <c r="DV200" s="23"/>
      <c r="DW200" s="23"/>
      <c r="DX200" s="23"/>
      <c r="DY200" s="23"/>
      <c r="DZ200" s="23"/>
      <c r="EA200" s="24"/>
    </row>
    <row r="201" spans="1:131">
      <c r="A201" s="24"/>
      <c r="B201" s="24"/>
      <c r="C201" s="24"/>
      <c r="D201" s="24"/>
      <c r="E201" s="24"/>
      <c r="F201" s="24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4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4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4"/>
      <c r="AW201" s="23"/>
      <c r="AX201" s="23"/>
      <c r="AY201" s="23"/>
      <c r="AZ201" s="23"/>
      <c r="BA201" s="23"/>
      <c r="BB201" s="23"/>
      <c r="BC201" s="23"/>
      <c r="BD201" s="24"/>
      <c r="BE201" s="23"/>
      <c r="BF201" s="23"/>
      <c r="BG201" s="23"/>
      <c r="BH201" s="23"/>
      <c r="BI201" s="23"/>
      <c r="BJ201" s="23"/>
      <c r="BK201" s="23"/>
      <c r="BL201" s="23"/>
      <c r="BM201" s="23"/>
      <c r="BN201" s="24"/>
      <c r="BO201" s="23"/>
      <c r="BP201" s="23"/>
      <c r="BQ201" s="23"/>
      <c r="BR201" s="23"/>
      <c r="BS201" s="24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4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4"/>
      <c r="CS201" s="24"/>
      <c r="CT201" s="24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4"/>
      <c r="DM201" s="23"/>
      <c r="DN201" s="23"/>
      <c r="DO201" s="23"/>
      <c r="DP201" s="23"/>
      <c r="DQ201" s="23"/>
      <c r="DR201" s="24"/>
      <c r="DS201" s="24"/>
      <c r="DT201" s="24"/>
      <c r="DU201" s="23"/>
      <c r="DV201" s="23"/>
      <c r="DW201" s="23"/>
      <c r="DX201" s="23"/>
      <c r="DY201" s="23"/>
      <c r="DZ201" s="23"/>
      <c r="EA201" s="24"/>
    </row>
    <row r="202" spans="1:131">
      <c r="A202" s="24"/>
      <c r="B202" s="24"/>
      <c r="C202" s="24"/>
      <c r="D202" s="24"/>
      <c r="E202" s="24"/>
      <c r="F202" s="24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4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4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4"/>
      <c r="AW202" s="23"/>
      <c r="AX202" s="23"/>
      <c r="AY202" s="23"/>
      <c r="AZ202" s="23"/>
      <c r="BA202" s="23"/>
      <c r="BB202" s="23"/>
      <c r="BC202" s="23"/>
      <c r="BD202" s="24"/>
      <c r="BE202" s="23"/>
      <c r="BF202" s="23"/>
      <c r="BG202" s="23"/>
      <c r="BH202" s="23"/>
      <c r="BI202" s="23"/>
      <c r="BJ202" s="23"/>
      <c r="BK202" s="23"/>
      <c r="BL202" s="23"/>
      <c r="BM202" s="23"/>
      <c r="BN202" s="24"/>
      <c r="BO202" s="23"/>
      <c r="BP202" s="23"/>
      <c r="BQ202" s="23"/>
      <c r="BR202" s="23"/>
      <c r="BS202" s="24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4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4"/>
      <c r="CS202" s="24"/>
      <c r="CT202" s="24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4"/>
      <c r="DM202" s="23"/>
      <c r="DN202" s="23"/>
      <c r="DO202" s="23"/>
      <c r="DP202" s="23"/>
      <c r="DQ202" s="23"/>
      <c r="DR202" s="24"/>
      <c r="DS202" s="24"/>
      <c r="DT202" s="24"/>
      <c r="DU202" s="23"/>
      <c r="DV202" s="23"/>
      <c r="DW202" s="23"/>
      <c r="DX202" s="23"/>
      <c r="DY202" s="23"/>
      <c r="DZ202" s="23"/>
      <c r="EA202" s="24"/>
    </row>
    <row r="203" spans="1:131">
      <c r="A203" s="24"/>
      <c r="B203" s="24"/>
      <c r="C203" s="24"/>
      <c r="D203" s="24"/>
      <c r="E203" s="24"/>
      <c r="F203" s="24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4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4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4"/>
      <c r="AW203" s="23"/>
      <c r="AX203" s="23"/>
      <c r="AY203" s="23"/>
      <c r="AZ203" s="23"/>
      <c r="BA203" s="23"/>
      <c r="BB203" s="23"/>
      <c r="BC203" s="23"/>
      <c r="BD203" s="24"/>
      <c r="BE203" s="23"/>
      <c r="BF203" s="23"/>
      <c r="BG203" s="23"/>
      <c r="BH203" s="23"/>
      <c r="BI203" s="23"/>
      <c r="BJ203" s="23"/>
      <c r="BK203" s="23"/>
      <c r="BL203" s="23"/>
      <c r="BM203" s="23"/>
      <c r="BN203" s="24"/>
      <c r="BO203" s="23"/>
      <c r="BP203" s="23"/>
      <c r="BQ203" s="23"/>
      <c r="BR203" s="23"/>
      <c r="BS203" s="24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4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4"/>
      <c r="CS203" s="24"/>
      <c r="CT203" s="24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4"/>
      <c r="DM203" s="23"/>
      <c r="DN203" s="23"/>
      <c r="DO203" s="23"/>
      <c r="DP203" s="23"/>
      <c r="DQ203" s="23"/>
      <c r="DR203" s="24"/>
      <c r="DS203" s="24"/>
      <c r="DT203" s="24"/>
      <c r="DU203" s="23"/>
      <c r="DV203" s="23"/>
      <c r="DW203" s="23"/>
      <c r="DX203" s="23"/>
      <c r="DY203" s="23"/>
      <c r="DZ203" s="23"/>
      <c r="EA203" s="24"/>
    </row>
    <row r="204" spans="1:131">
      <c r="A204" s="24"/>
      <c r="B204" s="24"/>
      <c r="C204" s="24"/>
      <c r="D204" s="24"/>
      <c r="E204" s="24"/>
      <c r="F204" s="24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4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4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4"/>
      <c r="AW204" s="23"/>
      <c r="AX204" s="23"/>
      <c r="AY204" s="23"/>
      <c r="AZ204" s="23"/>
      <c r="BA204" s="23"/>
      <c r="BB204" s="23"/>
      <c r="BC204" s="23"/>
      <c r="BD204" s="24"/>
      <c r="BE204" s="23"/>
      <c r="BF204" s="23"/>
      <c r="BG204" s="23"/>
      <c r="BH204" s="23"/>
      <c r="BI204" s="23"/>
      <c r="BJ204" s="23"/>
      <c r="BK204" s="23"/>
      <c r="BL204" s="23"/>
      <c r="BM204" s="23"/>
      <c r="BN204" s="24"/>
      <c r="BO204" s="23"/>
      <c r="BP204" s="23"/>
      <c r="BQ204" s="23"/>
      <c r="BR204" s="23"/>
      <c r="BS204" s="24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4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4"/>
      <c r="CS204" s="24"/>
      <c r="CT204" s="24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4"/>
      <c r="DM204" s="23"/>
      <c r="DN204" s="23"/>
      <c r="DO204" s="23"/>
      <c r="DP204" s="23"/>
      <c r="DQ204" s="23"/>
      <c r="DR204" s="24"/>
      <c r="DS204" s="24"/>
      <c r="DT204" s="24"/>
      <c r="DU204" s="23"/>
      <c r="DV204" s="23"/>
      <c r="DW204" s="23"/>
      <c r="DX204" s="23"/>
      <c r="DY204" s="23"/>
      <c r="DZ204" s="23"/>
      <c r="EA204" s="24"/>
    </row>
    <row r="205" spans="1:131">
      <c r="A205" s="24"/>
      <c r="B205" s="24"/>
      <c r="C205" s="24"/>
      <c r="D205" s="24"/>
      <c r="E205" s="24"/>
      <c r="F205" s="24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4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4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4"/>
      <c r="AW205" s="23"/>
      <c r="AX205" s="23"/>
      <c r="AY205" s="23"/>
      <c r="AZ205" s="23"/>
      <c r="BA205" s="23"/>
      <c r="BB205" s="23"/>
      <c r="BC205" s="23"/>
      <c r="BD205" s="24"/>
      <c r="BE205" s="23"/>
      <c r="BF205" s="23"/>
      <c r="BG205" s="23"/>
      <c r="BH205" s="23"/>
      <c r="BI205" s="23"/>
      <c r="BJ205" s="23"/>
      <c r="BK205" s="23"/>
      <c r="BL205" s="23"/>
      <c r="BM205" s="23"/>
      <c r="BN205" s="24"/>
      <c r="BO205" s="23"/>
      <c r="BP205" s="23"/>
      <c r="BQ205" s="23"/>
      <c r="BR205" s="23"/>
      <c r="BS205" s="24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4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4"/>
      <c r="CS205" s="24"/>
      <c r="CT205" s="24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4"/>
      <c r="DM205" s="23"/>
      <c r="DN205" s="23"/>
      <c r="DO205" s="23"/>
      <c r="DP205" s="23"/>
      <c r="DQ205" s="23"/>
      <c r="DR205" s="24"/>
      <c r="DS205" s="24"/>
      <c r="DT205" s="24"/>
      <c r="DU205" s="23"/>
      <c r="DV205" s="23"/>
      <c r="DW205" s="23"/>
      <c r="DX205" s="23"/>
      <c r="DY205" s="23"/>
      <c r="DZ205" s="23"/>
      <c r="EA205" s="24"/>
    </row>
    <row r="206" spans="1:131">
      <c r="A206" s="24"/>
      <c r="B206" s="24"/>
      <c r="C206" s="24"/>
      <c r="D206" s="24"/>
      <c r="E206" s="24"/>
      <c r="F206" s="24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4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4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4"/>
      <c r="AW206" s="23"/>
      <c r="AX206" s="23"/>
      <c r="AY206" s="23"/>
      <c r="AZ206" s="23"/>
      <c r="BA206" s="23"/>
      <c r="BB206" s="23"/>
      <c r="BC206" s="23"/>
      <c r="BD206" s="24"/>
      <c r="BE206" s="23"/>
      <c r="BF206" s="23"/>
      <c r="BG206" s="23"/>
      <c r="BH206" s="23"/>
      <c r="BI206" s="23"/>
      <c r="BJ206" s="23"/>
      <c r="BK206" s="23"/>
      <c r="BL206" s="23"/>
      <c r="BM206" s="23"/>
      <c r="BN206" s="24"/>
      <c r="BO206" s="23"/>
      <c r="BP206" s="23"/>
      <c r="BQ206" s="23"/>
      <c r="BR206" s="23"/>
      <c r="BS206" s="24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4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4"/>
      <c r="CS206" s="24"/>
      <c r="CT206" s="24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4"/>
      <c r="DM206" s="23"/>
      <c r="DN206" s="23"/>
      <c r="DO206" s="23"/>
      <c r="DP206" s="23"/>
      <c r="DQ206" s="23"/>
      <c r="DR206" s="24"/>
      <c r="DS206" s="24"/>
      <c r="DT206" s="24"/>
      <c r="DU206" s="23"/>
      <c r="DV206" s="23"/>
      <c r="DW206" s="23"/>
      <c r="DX206" s="23"/>
      <c r="DY206" s="23"/>
      <c r="DZ206" s="23"/>
      <c r="EA206" s="24"/>
    </row>
    <row r="207" spans="1:131">
      <c r="A207" s="24"/>
      <c r="B207" s="24"/>
      <c r="C207" s="24"/>
      <c r="D207" s="24"/>
      <c r="E207" s="24"/>
      <c r="F207" s="24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4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4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4"/>
      <c r="AW207" s="23"/>
      <c r="AX207" s="23"/>
      <c r="AY207" s="23"/>
      <c r="AZ207" s="23"/>
      <c r="BA207" s="23"/>
      <c r="BB207" s="23"/>
      <c r="BC207" s="23"/>
      <c r="BD207" s="24"/>
      <c r="BE207" s="23"/>
      <c r="BF207" s="23"/>
      <c r="BG207" s="23"/>
      <c r="BH207" s="23"/>
      <c r="BI207" s="23"/>
      <c r="BJ207" s="23"/>
      <c r="BK207" s="23"/>
      <c r="BL207" s="23"/>
      <c r="BM207" s="23"/>
      <c r="BN207" s="24"/>
      <c r="BO207" s="23"/>
      <c r="BP207" s="23"/>
      <c r="BQ207" s="23"/>
      <c r="BR207" s="23"/>
      <c r="BS207" s="24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4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4"/>
      <c r="CS207" s="24"/>
      <c r="CT207" s="24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4"/>
      <c r="DM207" s="23"/>
      <c r="DN207" s="23"/>
      <c r="DO207" s="23"/>
      <c r="DP207" s="23"/>
      <c r="DQ207" s="23"/>
      <c r="DR207" s="24"/>
      <c r="DS207" s="24"/>
      <c r="DT207" s="24"/>
      <c r="DU207" s="23"/>
      <c r="DV207" s="23"/>
      <c r="DW207" s="23"/>
      <c r="DX207" s="23"/>
      <c r="DY207" s="23"/>
      <c r="DZ207" s="23"/>
      <c r="EA207" s="24"/>
    </row>
    <row r="208" spans="1:131">
      <c r="A208" s="24"/>
      <c r="B208" s="24"/>
      <c r="C208" s="24"/>
      <c r="D208" s="24"/>
      <c r="E208" s="24"/>
      <c r="F208" s="24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4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4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4"/>
      <c r="AW208" s="23"/>
      <c r="AX208" s="23"/>
      <c r="AY208" s="23"/>
      <c r="AZ208" s="23"/>
      <c r="BA208" s="23"/>
      <c r="BB208" s="23"/>
      <c r="BC208" s="23"/>
      <c r="BD208" s="24"/>
      <c r="BE208" s="23"/>
      <c r="BF208" s="23"/>
      <c r="BG208" s="23"/>
      <c r="BH208" s="23"/>
      <c r="BI208" s="23"/>
      <c r="BJ208" s="23"/>
      <c r="BK208" s="23"/>
      <c r="BL208" s="23"/>
      <c r="BM208" s="23"/>
      <c r="BN208" s="24"/>
      <c r="BO208" s="23"/>
      <c r="BP208" s="23"/>
      <c r="BQ208" s="23"/>
      <c r="BR208" s="23"/>
      <c r="BS208" s="24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4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4"/>
      <c r="CS208" s="24"/>
      <c r="CT208" s="24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4"/>
      <c r="DM208" s="23"/>
      <c r="DN208" s="23"/>
      <c r="DO208" s="23"/>
      <c r="DP208" s="23"/>
      <c r="DQ208" s="23"/>
      <c r="DR208" s="24"/>
      <c r="DS208" s="24"/>
      <c r="DT208" s="24"/>
      <c r="DU208" s="23"/>
      <c r="DV208" s="23"/>
      <c r="DW208" s="23"/>
      <c r="DX208" s="23"/>
      <c r="DY208" s="23"/>
      <c r="DZ208" s="23"/>
      <c r="EA208" s="24"/>
    </row>
    <row r="209" spans="1:131">
      <c r="A209" s="24"/>
      <c r="B209" s="24"/>
      <c r="C209" s="24"/>
      <c r="D209" s="24"/>
      <c r="E209" s="24"/>
      <c r="F209" s="24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4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4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4"/>
      <c r="AW209" s="23"/>
      <c r="AX209" s="23"/>
      <c r="AY209" s="23"/>
      <c r="AZ209" s="23"/>
      <c r="BA209" s="23"/>
      <c r="BB209" s="23"/>
      <c r="BC209" s="23"/>
      <c r="BD209" s="24"/>
      <c r="BE209" s="23"/>
      <c r="BF209" s="23"/>
      <c r="BG209" s="23"/>
      <c r="BH209" s="23"/>
      <c r="BI209" s="23"/>
      <c r="BJ209" s="23"/>
      <c r="BK209" s="23"/>
      <c r="BL209" s="23"/>
      <c r="BM209" s="23"/>
      <c r="BN209" s="24"/>
      <c r="BO209" s="23"/>
      <c r="BP209" s="23"/>
      <c r="BQ209" s="23"/>
      <c r="BR209" s="23"/>
      <c r="BS209" s="24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4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4"/>
      <c r="CS209" s="24"/>
      <c r="CT209" s="24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4"/>
      <c r="DM209" s="23"/>
      <c r="DN209" s="23"/>
      <c r="DO209" s="23"/>
      <c r="DP209" s="23"/>
      <c r="DQ209" s="23"/>
      <c r="DR209" s="24"/>
      <c r="DS209" s="24"/>
      <c r="DT209" s="24"/>
      <c r="DU209" s="23"/>
      <c r="DV209" s="23"/>
      <c r="DW209" s="23"/>
      <c r="DX209" s="23"/>
      <c r="DY209" s="23"/>
      <c r="DZ209" s="23"/>
      <c r="EA209" s="24"/>
    </row>
    <row r="210" spans="1:131">
      <c r="A210" s="24"/>
      <c r="B210" s="24"/>
      <c r="C210" s="24"/>
      <c r="D210" s="24"/>
      <c r="E210" s="24"/>
      <c r="F210" s="24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4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4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4"/>
      <c r="AW210" s="23"/>
      <c r="AX210" s="23"/>
      <c r="AY210" s="23"/>
      <c r="AZ210" s="23"/>
      <c r="BA210" s="23"/>
      <c r="BB210" s="23"/>
      <c r="BC210" s="23"/>
      <c r="BD210" s="24"/>
      <c r="BE210" s="23"/>
      <c r="BF210" s="23"/>
      <c r="BG210" s="23"/>
      <c r="BH210" s="23"/>
      <c r="BI210" s="23"/>
      <c r="BJ210" s="23"/>
      <c r="BK210" s="23"/>
      <c r="BL210" s="23"/>
      <c r="BM210" s="23"/>
      <c r="BN210" s="24"/>
      <c r="BO210" s="23"/>
      <c r="BP210" s="23"/>
      <c r="BQ210" s="23"/>
      <c r="BR210" s="23"/>
      <c r="BS210" s="24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4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4"/>
      <c r="CS210" s="24"/>
      <c r="CT210" s="24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4"/>
      <c r="DM210" s="23"/>
      <c r="DN210" s="23"/>
      <c r="DO210" s="23"/>
      <c r="DP210" s="23"/>
      <c r="DQ210" s="23"/>
      <c r="DR210" s="24"/>
      <c r="DS210" s="24"/>
      <c r="DT210" s="24"/>
      <c r="DU210" s="23"/>
      <c r="DV210" s="23"/>
      <c r="DW210" s="23"/>
      <c r="DX210" s="23"/>
      <c r="DY210" s="23"/>
      <c r="DZ210" s="23"/>
      <c r="EA210" s="24"/>
    </row>
    <row r="211" spans="1:131">
      <c r="A211" s="24"/>
      <c r="B211" s="24"/>
      <c r="C211" s="24"/>
      <c r="D211" s="24"/>
      <c r="E211" s="24"/>
      <c r="F211" s="24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4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4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4"/>
      <c r="AW211" s="23"/>
      <c r="AX211" s="23"/>
      <c r="AY211" s="23"/>
      <c r="AZ211" s="23"/>
      <c r="BA211" s="23"/>
      <c r="BB211" s="23"/>
      <c r="BC211" s="23"/>
      <c r="BD211" s="24"/>
      <c r="BE211" s="23"/>
      <c r="BF211" s="23"/>
      <c r="BG211" s="23"/>
      <c r="BH211" s="23"/>
      <c r="BI211" s="23"/>
      <c r="BJ211" s="23"/>
      <c r="BK211" s="23"/>
      <c r="BL211" s="23"/>
      <c r="BM211" s="23"/>
      <c r="BN211" s="24"/>
      <c r="BO211" s="23"/>
      <c r="BP211" s="23"/>
      <c r="BQ211" s="23"/>
      <c r="BR211" s="23"/>
      <c r="BS211" s="24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4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4"/>
      <c r="CS211" s="24"/>
      <c r="CT211" s="24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4"/>
      <c r="DM211" s="23"/>
      <c r="DN211" s="23"/>
      <c r="DO211" s="23"/>
      <c r="DP211" s="23"/>
      <c r="DQ211" s="23"/>
      <c r="DR211" s="24"/>
      <c r="DS211" s="24"/>
      <c r="DT211" s="24"/>
      <c r="DU211" s="23"/>
      <c r="DV211" s="23"/>
      <c r="DW211" s="23"/>
      <c r="DX211" s="23"/>
      <c r="DY211" s="23"/>
      <c r="DZ211" s="23"/>
      <c r="EA211" s="24"/>
    </row>
    <row r="212" spans="1:131">
      <c r="A212" s="24"/>
      <c r="B212" s="24"/>
      <c r="C212" s="24"/>
      <c r="D212" s="24"/>
      <c r="E212" s="24"/>
      <c r="F212" s="24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4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4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4"/>
      <c r="AW212" s="23"/>
      <c r="AX212" s="23"/>
      <c r="AY212" s="23"/>
      <c r="AZ212" s="23"/>
      <c r="BA212" s="23"/>
      <c r="BB212" s="23"/>
      <c r="BC212" s="23"/>
      <c r="BD212" s="24"/>
      <c r="BE212" s="23"/>
      <c r="BF212" s="23"/>
      <c r="BG212" s="23"/>
      <c r="BH212" s="23"/>
      <c r="BI212" s="23"/>
      <c r="BJ212" s="23"/>
      <c r="BK212" s="23"/>
      <c r="BL212" s="23"/>
      <c r="BM212" s="23"/>
      <c r="BN212" s="24"/>
      <c r="BO212" s="23"/>
      <c r="BP212" s="23"/>
      <c r="BQ212" s="23"/>
      <c r="BR212" s="23"/>
      <c r="BS212" s="24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4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4"/>
      <c r="CS212" s="24"/>
      <c r="CT212" s="24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4"/>
      <c r="DM212" s="23"/>
      <c r="DN212" s="23"/>
      <c r="DO212" s="23"/>
      <c r="DP212" s="23"/>
      <c r="DQ212" s="23"/>
      <c r="DR212" s="24"/>
      <c r="DS212" s="24"/>
      <c r="DT212" s="24"/>
      <c r="DU212" s="23"/>
      <c r="DV212" s="23"/>
      <c r="DW212" s="23"/>
      <c r="DX212" s="23"/>
      <c r="DY212" s="23"/>
      <c r="DZ212" s="23"/>
      <c r="EA212" s="24"/>
    </row>
    <row r="213" spans="1:131">
      <c r="A213" s="24"/>
      <c r="B213" s="24"/>
      <c r="C213" s="24"/>
      <c r="D213" s="24"/>
      <c r="E213" s="24"/>
      <c r="F213" s="24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4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4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4"/>
      <c r="AW213" s="23"/>
      <c r="AX213" s="23"/>
      <c r="AY213" s="23"/>
      <c r="AZ213" s="23"/>
      <c r="BA213" s="23"/>
      <c r="BB213" s="23"/>
      <c r="BC213" s="23"/>
      <c r="BD213" s="24"/>
      <c r="BE213" s="23"/>
      <c r="BF213" s="23"/>
      <c r="BG213" s="23"/>
      <c r="BH213" s="23"/>
      <c r="BI213" s="23"/>
      <c r="BJ213" s="23"/>
      <c r="BK213" s="23"/>
      <c r="BL213" s="23"/>
      <c r="BM213" s="23"/>
      <c r="BN213" s="24"/>
      <c r="BO213" s="23"/>
      <c r="BP213" s="23"/>
      <c r="BQ213" s="23"/>
      <c r="BR213" s="23"/>
      <c r="BS213" s="24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4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4"/>
      <c r="CS213" s="24"/>
      <c r="CT213" s="24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4"/>
      <c r="DM213" s="23"/>
      <c r="DN213" s="23"/>
      <c r="DO213" s="23"/>
      <c r="DP213" s="23"/>
      <c r="DQ213" s="23"/>
      <c r="DR213" s="24"/>
      <c r="DS213" s="24"/>
      <c r="DT213" s="24"/>
      <c r="DU213" s="23"/>
      <c r="DV213" s="23"/>
      <c r="DW213" s="23"/>
      <c r="DX213" s="23"/>
      <c r="DY213" s="23"/>
      <c r="DZ213" s="23"/>
      <c r="EA213" s="24"/>
    </row>
    <row r="214" spans="1:131">
      <c r="A214" s="24"/>
      <c r="B214" s="24"/>
      <c r="C214" s="24"/>
      <c r="D214" s="24"/>
      <c r="E214" s="24"/>
      <c r="F214" s="24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4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4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4"/>
      <c r="AW214" s="23"/>
      <c r="AX214" s="23"/>
      <c r="AY214" s="23"/>
      <c r="AZ214" s="23"/>
      <c r="BA214" s="23"/>
      <c r="BB214" s="23"/>
      <c r="BC214" s="23"/>
      <c r="BD214" s="24"/>
      <c r="BE214" s="23"/>
      <c r="BF214" s="23"/>
      <c r="BG214" s="23"/>
      <c r="BH214" s="23"/>
      <c r="BI214" s="23"/>
      <c r="BJ214" s="23"/>
      <c r="BK214" s="23"/>
      <c r="BL214" s="23"/>
      <c r="BM214" s="23"/>
      <c r="BN214" s="24"/>
      <c r="BO214" s="23"/>
      <c r="BP214" s="23"/>
      <c r="BQ214" s="23"/>
      <c r="BR214" s="23"/>
      <c r="BS214" s="24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4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4"/>
      <c r="CS214" s="24"/>
      <c r="CT214" s="24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4"/>
      <c r="DM214" s="23"/>
      <c r="DN214" s="23"/>
      <c r="DO214" s="23"/>
      <c r="DP214" s="23"/>
      <c r="DQ214" s="23"/>
      <c r="DR214" s="24"/>
      <c r="DS214" s="24"/>
      <c r="DT214" s="24"/>
      <c r="DU214" s="23"/>
      <c r="DV214" s="23"/>
      <c r="DW214" s="23"/>
      <c r="DX214" s="23"/>
      <c r="DY214" s="23"/>
      <c r="DZ214" s="23"/>
      <c r="EA214" s="24"/>
    </row>
    <row r="215" spans="1:131">
      <c r="A215" s="24"/>
      <c r="B215" s="24"/>
      <c r="C215" s="24"/>
      <c r="D215" s="24"/>
      <c r="E215" s="24"/>
      <c r="F215" s="24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4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4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4"/>
      <c r="AW215" s="23"/>
      <c r="AX215" s="23"/>
      <c r="AY215" s="23"/>
      <c r="AZ215" s="23"/>
      <c r="BA215" s="23"/>
      <c r="BB215" s="23"/>
      <c r="BC215" s="23"/>
      <c r="BD215" s="24"/>
      <c r="BE215" s="23"/>
      <c r="BF215" s="23"/>
      <c r="BG215" s="23"/>
      <c r="BH215" s="23"/>
      <c r="BI215" s="23"/>
      <c r="BJ215" s="23"/>
      <c r="BK215" s="23"/>
      <c r="BL215" s="23"/>
      <c r="BM215" s="23"/>
      <c r="BN215" s="24"/>
      <c r="BO215" s="23"/>
      <c r="BP215" s="23"/>
      <c r="BQ215" s="23"/>
      <c r="BR215" s="23"/>
      <c r="BS215" s="24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4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4"/>
      <c r="CS215" s="24"/>
      <c r="CT215" s="24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4"/>
      <c r="DM215" s="23"/>
      <c r="DN215" s="23"/>
      <c r="DO215" s="23"/>
      <c r="DP215" s="23"/>
      <c r="DQ215" s="23"/>
      <c r="DR215" s="24"/>
      <c r="DS215" s="24"/>
      <c r="DT215" s="24"/>
      <c r="DU215" s="23"/>
      <c r="DV215" s="23"/>
      <c r="DW215" s="23"/>
      <c r="DX215" s="23"/>
      <c r="DY215" s="23"/>
      <c r="DZ215" s="23"/>
      <c r="EA215" s="24"/>
    </row>
    <row r="216" spans="1:131">
      <c r="A216" s="24"/>
      <c r="B216" s="24"/>
      <c r="C216" s="24"/>
      <c r="D216" s="24"/>
      <c r="E216" s="24"/>
      <c r="F216" s="24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4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4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4"/>
      <c r="AW216" s="23"/>
      <c r="AX216" s="23"/>
      <c r="AY216" s="23"/>
      <c r="AZ216" s="23"/>
      <c r="BA216" s="23"/>
      <c r="BB216" s="23"/>
      <c r="BC216" s="23"/>
      <c r="BD216" s="24"/>
      <c r="BE216" s="23"/>
      <c r="BF216" s="23"/>
      <c r="BG216" s="23"/>
      <c r="BH216" s="23"/>
      <c r="BI216" s="23"/>
      <c r="BJ216" s="23"/>
      <c r="BK216" s="23"/>
      <c r="BL216" s="23"/>
      <c r="BM216" s="23"/>
      <c r="BN216" s="24"/>
      <c r="BO216" s="23"/>
      <c r="BP216" s="23"/>
      <c r="BQ216" s="23"/>
      <c r="BR216" s="23"/>
      <c r="BS216" s="24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4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4"/>
      <c r="CS216" s="24"/>
      <c r="CT216" s="24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4"/>
      <c r="DM216" s="23"/>
      <c r="DN216" s="23"/>
      <c r="DO216" s="23"/>
      <c r="DP216" s="23"/>
      <c r="DQ216" s="23"/>
      <c r="DR216" s="24"/>
      <c r="DS216" s="24"/>
      <c r="DT216" s="24"/>
      <c r="DU216" s="23"/>
      <c r="DV216" s="23"/>
      <c r="DW216" s="23"/>
      <c r="DX216" s="23"/>
      <c r="DY216" s="23"/>
      <c r="DZ216" s="23"/>
      <c r="EA216" s="24"/>
    </row>
    <row r="217" spans="1:131">
      <c r="A217" s="24"/>
      <c r="B217" s="24"/>
      <c r="C217" s="24"/>
      <c r="D217" s="24"/>
      <c r="E217" s="24"/>
      <c r="F217" s="24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4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4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4"/>
      <c r="AW217" s="23"/>
      <c r="AX217" s="23"/>
      <c r="AY217" s="23"/>
      <c r="AZ217" s="23"/>
      <c r="BA217" s="23"/>
      <c r="BB217" s="23"/>
      <c r="BC217" s="23"/>
      <c r="BD217" s="24"/>
      <c r="BE217" s="23"/>
      <c r="BF217" s="23"/>
      <c r="BG217" s="23"/>
      <c r="BH217" s="23"/>
      <c r="BI217" s="23"/>
      <c r="BJ217" s="23"/>
      <c r="BK217" s="23"/>
      <c r="BL217" s="23"/>
      <c r="BM217" s="23"/>
      <c r="BN217" s="24"/>
      <c r="BO217" s="23"/>
      <c r="BP217" s="23"/>
      <c r="BQ217" s="23"/>
      <c r="BR217" s="23"/>
      <c r="BS217" s="24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4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4"/>
      <c r="CS217" s="24"/>
      <c r="CT217" s="24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4"/>
      <c r="DM217" s="23"/>
      <c r="DN217" s="23"/>
      <c r="DO217" s="23"/>
      <c r="DP217" s="23"/>
      <c r="DQ217" s="23"/>
      <c r="DR217" s="24"/>
      <c r="DS217" s="24"/>
      <c r="DT217" s="24"/>
      <c r="DU217" s="23"/>
      <c r="DV217" s="23"/>
      <c r="DW217" s="23"/>
      <c r="DX217" s="23"/>
      <c r="DY217" s="23"/>
      <c r="DZ217" s="23"/>
      <c r="EA217" s="24"/>
    </row>
    <row r="218" spans="1:131">
      <c r="A218" s="24"/>
      <c r="B218" s="24"/>
      <c r="C218" s="24"/>
      <c r="D218" s="24"/>
      <c r="E218" s="24"/>
      <c r="F218" s="24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4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4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4"/>
      <c r="AW218" s="23"/>
      <c r="AX218" s="23"/>
      <c r="AY218" s="23"/>
      <c r="AZ218" s="23"/>
      <c r="BA218" s="23"/>
      <c r="BB218" s="23"/>
      <c r="BC218" s="23"/>
      <c r="BD218" s="24"/>
      <c r="BE218" s="23"/>
      <c r="BF218" s="23"/>
      <c r="BG218" s="23"/>
      <c r="BH218" s="23"/>
      <c r="BI218" s="23"/>
      <c r="BJ218" s="23"/>
      <c r="BK218" s="23"/>
      <c r="BL218" s="23"/>
      <c r="BM218" s="23"/>
      <c r="BN218" s="24"/>
      <c r="BO218" s="23"/>
      <c r="BP218" s="23"/>
      <c r="BQ218" s="23"/>
      <c r="BR218" s="23"/>
      <c r="BS218" s="24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4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4"/>
      <c r="CS218" s="24"/>
      <c r="CT218" s="24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4"/>
      <c r="DM218" s="23"/>
      <c r="DN218" s="23"/>
      <c r="DO218" s="23"/>
      <c r="DP218" s="23"/>
      <c r="DQ218" s="23"/>
      <c r="DR218" s="24"/>
      <c r="DS218" s="24"/>
      <c r="DT218" s="24"/>
      <c r="DU218" s="23"/>
      <c r="DV218" s="23"/>
      <c r="DW218" s="23"/>
      <c r="DX218" s="23"/>
      <c r="DY218" s="23"/>
      <c r="DZ218" s="23"/>
      <c r="EA218" s="24"/>
    </row>
    <row r="219" spans="1:131">
      <c r="A219" s="24"/>
      <c r="B219" s="24"/>
      <c r="C219" s="24"/>
      <c r="D219" s="24"/>
      <c r="E219" s="24"/>
      <c r="F219" s="24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4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4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4"/>
      <c r="AW219" s="23"/>
      <c r="AX219" s="23"/>
      <c r="AY219" s="23"/>
      <c r="AZ219" s="23"/>
      <c r="BA219" s="23"/>
      <c r="BB219" s="23"/>
      <c r="BC219" s="23"/>
      <c r="BD219" s="24"/>
      <c r="BE219" s="23"/>
      <c r="BF219" s="23"/>
      <c r="BG219" s="23"/>
      <c r="BH219" s="23"/>
      <c r="BI219" s="23"/>
      <c r="BJ219" s="23"/>
      <c r="BK219" s="23"/>
      <c r="BL219" s="23"/>
      <c r="BM219" s="23"/>
      <c r="BN219" s="24"/>
      <c r="BO219" s="23"/>
      <c r="BP219" s="23"/>
      <c r="BQ219" s="23"/>
      <c r="BR219" s="23"/>
      <c r="BS219" s="24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4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4"/>
      <c r="CS219" s="24"/>
      <c r="CT219" s="24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4"/>
      <c r="DM219" s="23"/>
      <c r="DN219" s="23"/>
      <c r="DO219" s="23"/>
      <c r="DP219" s="23"/>
      <c r="DQ219" s="23"/>
      <c r="DR219" s="24"/>
      <c r="DS219" s="24"/>
      <c r="DT219" s="24"/>
      <c r="DU219" s="23"/>
      <c r="DV219" s="23"/>
      <c r="DW219" s="23"/>
      <c r="DX219" s="23"/>
      <c r="DY219" s="23"/>
      <c r="DZ219" s="23"/>
      <c r="EA219" s="24"/>
    </row>
    <row r="220" spans="1:131">
      <c r="A220" s="24"/>
      <c r="B220" s="24"/>
      <c r="C220" s="24"/>
      <c r="D220" s="24"/>
      <c r="E220" s="24"/>
      <c r="F220" s="24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4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4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4"/>
      <c r="AW220" s="23"/>
      <c r="AX220" s="23"/>
      <c r="AY220" s="23"/>
      <c r="AZ220" s="23"/>
      <c r="BA220" s="23"/>
      <c r="BB220" s="23"/>
      <c r="BC220" s="23"/>
      <c r="BD220" s="24"/>
      <c r="BE220" s="23"/>
      <c r="BF220" s="23"/>
      <c r="BG220" s="23"/>
      <c r="BH220" s="23"/>
      <c r="BI220" s="23"/>
      <c r="BJ220" s="23"/>
      <c r="BK220" s="23"/>
      <c r="BL220" s="23"/>
      <c r="BM220" s="23"/>
      <c r="BN220" s="24"/>
      <c r="BO220" s="23"/>
      <c r="BP220" s="23"/>
      <c r="BQ220" s="23"/>
      <c r="BR220" s="23"/>
      <c r="BS220" s="24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4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4"/>
      <c r="CS220" s="24"/>
      <c r="CT220" s="24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4"/>
      <c r="DM220" s="23"/>
      <c r="DN220" s="23"/>
      <c r="DO220" s="23"/>
      <c r="DP220" s="23"/>
      <c r="DQ220" s="23"/>
      <c r="DR220" s="24"/>
      <c r="DS220" s="24"/>
      <c r="DT220" s="24"/>
      <c r="DU220" s="23"/>
      <c r="DV220" s="23"/>
      <c r="DW220" s="23"/>
      <c r="DX220" s="23"/>
      <c r="DY220" s="23"/>
      <c r="DZ220" s="23"/>
      <c r="EA220" s="24"/>
    </row>
    <row r="221" spans="1:131">
      <c r="A221" s="24"/>
      <c r="B221" s="24"/>
      <c r="C221" s="24"/>
      <c r="D221" s="24"/>
      <c r="E221" s="24"/>
      <c r="F221" s="24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4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4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4"/>
      <c r="AW221" s="23"/>
      <c r="AX221" s="23"/>
      <c r="AY221" s="23"/>
      <c r="AZ221" s="23"/>
      <c r="BA221" s="23"/>
      <c r="BB221" s="23"/>
      <c r="BC221" s="23"/>
      <c r="BD221" s="24"/>
      <c r="BE221" s="23"/>
      <c r="BF221" s="23"/>
      <c r="BG221" s="23"/>
      <c r="BH221" s="23"/>
      <c r="BI221" s="23"/>
      <c r="BJ221" s="23"/>
      <c r="BK221" s="23"/>
      <c r="BL221" s="23"/>
      <c r="BM221" s="23"/>
      <c r="BN221" s="24"/>
      <c r="BO221" s="23"/>
      <c r="BP221" s="23"/>
      <c r="BQ221" s="23"/>
      <c r="BR221" s="23"/>
      <c r="BS221" s="24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4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4"/>
      <c r="CS221" s="24"/>
      <c r="CT221" s="24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4"/>
      <c r="DM221" s="23"/>
      <c r="DN221" s="23"/>
      <c r="DO221" s="23"/>
      <c r="DP221" s="23"/>
      <c r="DQ221" s="23"/>
      <c r="DR221" s="24"/>
      <c r="DS221" s="24"/>
      <c r="DT221" s="24"/>
      <c r="DU221" s="23"/>
      <c r="DV221" s="23"/>
      <c r="DW221" s="23"/>
      <c r="DX221" s="23"/>
      <c r="DY221" s="23"/>
      <c r="DZ221" s="23"/>
      <c r="EA221" s="24"/>
    </row>
    <row r="222" spans="1:131">
      <c r="A222" s="24"/>
      <c r="B222" s="24"/>
      <c r="C222" s="24"/>
      <c r="D222" s="24"/>
      <c r="E222" s="24"/>
      <c r="F222" s="24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4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4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4"/>
      <c r="AW222" s="23"/>
      <c r="AX222" s="23"/>
      <c r="AY222" s="23"/>
      <c r="AZ222" s="23"/>
      <c r="BA222" s="23"/>
      <c r="BB222" s="23"/>
      <c r="BC222" s="23"/>
      <c r="BD222" s="24"/>
      <c r="BE222" s="23"/>
      <c r="BF222" s="23"/>
      <c r="BG222" s="23"/>
      <c r="BH222" s="23"/>
      <c r="BI222" s="23"/>
      <c r="BJ222" s="23"/>
      <c r="BK222" s="23"/>
      <c r="BL222" s="23"/>
      <c r="BM222" s="23"/>
      <c r="BN222" s="24"/>
      <c r="BO222" s="23"/>
      <c r="BP222" s="23"/>
      <c r="BQ222" s="23"/>
      <c r="BR222" s="23"/>
      <c r="BS222" s="24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4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4"/>
      <c r="CS222" s="24"/>
      <c r="CT222" s="24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4"/>
      <c r="DM222" s="23"/>
      <c r="DN222" s="23"/>
      <c r="DO222" s="23"/>
      <c r="DP222" s="23"/>
      <c r="DQ222" s="23"/>
      <c r="DR222" s="24"/>
      <c r="DS222" s="24"/>
      <c r="DT222" s="24"/>
      <c r="DU222" s="23"/>
      <c r="DV222" s="23"/>
      <c r="DW222" s="23"/>
      <c r="DX222" s="23"/>
      <c r="DY222" s="23"/>
      <c r="DZ222" s="23"/>
      <c r="EA222" s="24"/>
    </row>
    <row r="223" spans="1:131">
      <c r="A223" s="24"/>
      <c r="B223" s="24"/>
      <c r="C223" s="24"/>
      <c r="D223" s="24"/>
      <c r="E223" s="24"/>
      <c r="F223" s="24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4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4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4"/>
      <c r="AW223" s="23"/>
      <c r="AX223" s="23"/>
      <c r="AY223" s="23"/>
      <c r="AZ223" s="23"/>
      <c r="BA223" s="23"/>
      <c r="BB223" s="23"/>
      <c r="BC223" s="23"/>
      <c r="BD223" s="24"/>
      <c r="BE223" s="23"/>
      <c r="BF223" s="23"/>
      <c r="BG223" s="23"/>
      <c r="BH223" s="23"/>
      <c r="BI223" s="23"/>
      <c r="BJ223" s="23"/>
      <c r="BK223" s="23"/>
      <c r="BL223" s="23"/>
      <c r="BM223" s="23"/>
      <c r="BN223" s="24"/>
      <c r="BO223" s="23"/>
      <c r="BP223" s="23"/>
      <c r="BQ223" s="23"/>
      <c r="BR223" s="23"/>
      <c r="BS223" s="24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4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4"/>
      <c r="CS223" s="24"/>
      <c r="CT223" s="24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4"/>
      <c r="DM223" s="23"/>
      <c r="DN223" s="23"/>
      <c r="DO223" s="23"/>
      <c r="DP223" s="23"/>
      <c r="DQ223" s="23"/>
      <c r="DR223" s="24"/>
      <c r="DS223" s="24"/>
      <c r="DT223" s="24"/>
      <c r="DU223" s="23"/>
      <c r="DV223" s="23"/>
      <c r="DW223" s="23"/>
      <c r="DX223" s="23"/>
      <c r="DY223" s="23"/>
      <c r="DZ223" s="23"/>
      <c r="EA223" s="24"/>
    </row>
    <row r="224" spans="1:131">
      <c r="A224" s="24"/>
      <c r="B224" s="24"/>
      <c r="C224" s="24"/>
      <c r="D224" s="24"/>
      <c r="E224" s="24"/>
      <c r="F224" s="24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4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4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4"/>
      <c r="AW224" s="23"/>
      <c r="AX224" s="23"/>
      <c r="AY224" s="23"/>
      <c r="AZ224" s="23"/>
      <c r="BA224" s="23"/>
      <c r="BB224" s="23"/>
      <c r="BC224" s="23"/>
      <c r="BD224" s="24"/>
      <c r="BE224" s="23"/>
      <c r="BF224" s="23"/>
      <c r="BG224" s="23"/>
      <c r="BH224" s="23"/>
      <c r="BI224" s="23"/>
      <c r="BJ224" s="23"/>
      <c r="BK224" s="23"/>
      <c r="BL224" s="23"/>
      <c r="BM224" s="23"/>
      <c r="BN224" s="24"/>
      <c r="BO224" s="23"/>
      <c r="BP224" s="23"/>
      <c r="BQ224" s="23"/>
      <c r="BR224" s="23"/>
      <c r="BS224" s="24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4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4"/>
      <c r="CS224" s="24"/>
      <c r="CT224" s="24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4"/>
      <c r="DM224" s="23"/>
      <c r="DN224" s="23"/>
      <c r="DO224" s="23"/>
      <c r="DP224" s="23"/>
      <c r="DQ224" s="23"/>
      <c r="DR224" s="24"/>
      <c r="DS224" s="24"/>
      <c r="DT224" s="24"/>
      <c r="DU224" s="23"/>
      <c r="DV224" s="23"/>
      <c r="DW224" s="23"/>
      <c r="DX224" s="23"/>
      <c r="DY224" s="23"/>
      <c r="DZ224" s="23"/>
      <c r="EA224" s="24"/>
    </row>
    <row r="225" spans="1:131">
      <c r="A225" s="24"/>
      <c r="B225" s="24"/>
      <c r="C225" s="24"/>
      <c r="D225" s="24"/>
      <c r="E225" s="24"/>
      <c r="F225" s="24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4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4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4"/>
      <c r="AW225" s="23"/>
      <c r="AX225" s="23"/>
      <c r="AY225" s="23"/>
      <c r="AZ225" s="23"/>
      <c r="BA225" s="23"/>
      <c r="BB225" s="23"/>
      <c r="BC225" s="23"/>
      <c r="BD225" s="24"/>
      <c r="BE225" s="23"/>
      <c r="BF225" s="23"/>
      <c r="BG225" s="23"/>
      <c r="BH225" s="23"/>
      <c r="BI225" s="23"/>
      <c r="BJ225" s="23"/>
      <c r="BK225" s="23"/>
      <c r="BL225" s="23"/>
      <c r="BM225" s="23"/>
      <c r="BN225" s="24"/>
      <c r="BO225" s="23"/>
      <c r="BP225" s="23"/>
      <c r="BQ225" s="23"/>
      <c r="BR225" s="23"/>
      <c r="BS225" s="24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4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4"/>
      <c r="CS225" s="24"/>
      <c r="CT225" s="24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4"/>
      <c r="DM225" s="23"/>
      <c r="DN225" s="23"/>
      <c r="DO225" s="23"/>
      <c r="DP225" s="23"/>
      <c r="DQ225" s="23"/>
      <c r="DR225" s="24"/>
      <c r="DS225" s="24"/>
      <c r="DT225" s="24"/>
      <c r="DU225" s="23"/>
      <c r="DV225" s="23"/>
      <c r="DW225" s="23"/>
      <c r="DX225" s="23"/>
      <c r="DY225" s="23"/>
      <c r="DZ225" s="23"/>
      <c r="EA225" s="24"/>
    </row>
    <row r="226" spans="1:131">
      <c r="A226" s="24"/>
      <c r="B226" s="24"/>
      <c r="C226" s="24"/>
      <c r="D226" s="24"/>
      <c r="E226" s="24"/>
      <c r="F226" s="24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4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4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4"/>
      <c r="AW226" s="23"/>
      <c r="AX226" s="23"/>
      <c r="AY226" s="23"/>
      <c r="AZ226" s="23"/>
      <c r="BA226" s="23"/>
      <c r="BB226" s="23"/>
      <c r="BC226" s="23"/>
      <c r="BD226" s="24"/>
      <c r="BE226" s="23"/>
      <c r="BF226" s="23"/>
      <c r="BG226" s="23"/>
      <c r="BH226" s="23"/>
      <c r="BI226" s="23"/>
      <c r="BJ226" s="23"/>
      <c r="BK226" s="23"/>
      <c r="BL226" s="23"/>
      <c r="BM226" s="23"/>
      <c r="BN226" s="24"/>
      <c r="BO226" s="23"/>
      <c r="BP226" s="23"/>
      <c r="BQ226" s="23"/>
      <c r="BR226" s="23"/>
      <c r="BS226" s="24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4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4"/>
      <c r="CS226" s="24"/>
      <c r="CT226" s="24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4"/>
      <c r="DM226" s="23"/>
      <c r="DN226" s="23"/>
      <c r="DO226" s="23"/>
      <c r="DP226" s="23"/>
      <c r="DQ226" s="23"/>
      <c r="DR226" s="24"/>
      <c r="DS226" s="24"/>
      <c r="DT226" s="24"/>
      <c r="DU226" s="23"/>
      <c r="DV226" s="23"/>
      <c r="DW226" s="23"/>
      <c r="DX226" s="23"/>
      <c r="DY226" s="23"/>
      <c r="DZ226" s="23"/>
      <c r="EA226" s="24"/>
    </row>
    <row r="227" spans="1:131">
      <c r="A227" s="24"/>
      <c r="B227" s="24"/>
      <c r="C227" s="24"/>
      <c r="D227" s="24"/>
      <c r="E227" s="24"/>
      <c r="F227" s="24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4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4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4"/>
      <c r="AW227" s="23"/>
      <c r="AX227" s="23"/>
      <c r="AY227" s="23"/>
      <c r="AZ227" s="23"/>
      <c r="BA227" s="23"/>
      <c r="BB227" s="23"/>
      <c r="BC227" s="23"/>
      <c r="BD227" s="24"/>
      <c r="BE227" s="23"/>
      <c r="BF227" s="23"/>
      <c r="BG227" s="23"/>
      <c r="BH227" s="23"/>
      <c r="BI227" s="23"/>
      <c r="BJ227" s="23"/>
      <c r="BK227" s="23"/>
      <c r="BL227" s="23"/>
      <c r="BM227" s="23"/>
      <c r="BN227" s="24"/>
      <c r="BO227" s="23"/>
      <c r="BP227" s="23"/>
      <c r="BQ227" s="23"/>
      <c r="BR227" s="23"/>
      <c r="BS227" s="24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4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4"/>
      <c r="CS227" s="24"/>
      <c r="CT227" s="24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4"/>
      <c r="DM227" s="23"/>
      <c r="DN227" s="23"/>
      <c r="DO227" s="23"/>
      <c r="DP227" s="23"/>
      <c r="DQ227" s="23"/>
      <c r="DR227" s="24"/>
      <c r="DS227" s="24"/>
      <c r="DT227" s="24"/>
      <c r="DU227" s="23"/>
      <c r="DV227" s="23"/>
      <c r="DW227" s="23"/>
      <c r="DX227" s="23"/>
      <c r="DY227" s="23"/>
      <c r="DZ227" s="23"/>
      <c r="EA227" s="24"/>
    </row>
    <row r="228" spans="1:131">
      <c r="A228" s="24"/>
      <c r="B228" s="24"/>
      <c r="C228" s="24"/>
      <c r="D228" s="24"/>
      <c r="E228" s="24"/>
      <c r="F228" s="24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4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4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4"/>
      <c r="AW228" s="23"/>
      <c r="AX228" s="23"/>
      <c r="AY228" s="23"/>
      <c r="AZ228" s="23"/>
      <c r="BA228" s="23"/>
      <c r="BB228" s="23"/>
      <c r="BC228" s="23"/>
      <c r="BD228" s="24"/>
      <c r="BE228" s="23"/>
      <c r="BF228" s="23"/>
      <c r="BG228" s="23"/>
      <c r="BH228" s="23"/>
      <c r="BI228" s="23"/>
      <c r="BJ228" s="23"/>
      <c r="BK228" s="23"/>
      <c r="BL228" s="23"/>
      <c r="BM228" s="23"/>
      <c r="BN228" s="24"/>
      <c r="BO228" s="23"/>
      <c r="BP228" s="23"/>
      <c r="BQ228" s="23"/>
      <c r="BR228" s="23"/>
      <c r="BS228" s="24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4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4"/>
      <c r="CS228" s="24"/>
      <c r="CT228" s="24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4"/>
      <c r="DM228" s="23"/>
      <c r="DN228" s="23"/>
      <c r="DO228" s="23"/>
      <c r="DP228" s="23"/>
      <c r="DQ228" s="23"/>
      <c r="DR228" s="24"/>
      <c r="DS228" s="24"/>
      <c r="DT228" s="24"/>
      <c r="DU228" s="23"/>
      <c r="DV228" s="23"/>
      <c r="DW228" s="23"/>
      <c r="DX228" s="23"/>
      <c r="DY228" s="23"/>
      <c r="DZ228" s="23"/>
      <c r="EA228" s="24"/>
    </row>
    <row r="229" spans="1:131">
      <c r="A229" s="24"/>
      <c r="B229" s="24"/>
      <c r="C229" s="24"/>
      <c r="D229" s="24"/>
      <c r="E229" s="24"/>
      <c r="F229" s="24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4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4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4"/>
      <c r="AW229" s="23"/>
      <c r="AX229" s="23"/>
      <c r="AY229" s="23"/>
      <c r="AZ229" s="23"/>
      <c r="BA229" s="23"/>
      <c r="BB229" s="23"/>
      <c r="BC229" s="23"/>
      <c r="BD229" s="24"/>
      <c r="BE229" s="23"/>
      <c r="BF229" s="23"/>
      <c r="BG229" s="23"/>
      <c r="BH229" s="23"/>
      <c r="BI229" s="23"/>
      <c r="BJ229" s="23"/>
      <c r="BK229" s="23"/>
      <c r="BL229" s="23"/>
      <c r="BM229" s="23"/>
      <c r="BN229" s="24"/>
      <c r="BO229" s="23"/>
      <c r="BP229" s="23"/>
      <c r="BQ229" s="23"/>
      <c r="BR229" s="23"/>
      <c r="BS229" s="24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4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4"/>
      <c r="CS229" s="24"/>
      <c r="CT229" s="24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4"/>
      <c r="DM229" s="23"/>
      <c r="DN229" s="23"/>
      <c r="DO229" s="23"/>
      <c r="DP229" s="23"/>
      <c r="DQ229" s="23"/>
      <c r="DR229" s="24"/>
      <c r="DS229" s="24"/>
      <c r="DT229" s="24"/>
      <c r="DU229" s="23"/>
      <c r="DV229" s="23"/>
      <c r="DW229" s="23"/>
      <c r="DX229" s="23"/>
      <c r="DY229" s="23"/>
      <c r="DZ229" s="23"/>
      <c r="EA229" s="24"/>
    </row>
    <row r="230" spans="1:131">
      <c r="A230" s="24"/>
      <c r="B230" s="24"/>
      <c r="C230" s="24"/>
      <c r="D230" s="24"/>
      <c r="E230" s="24"/>
      <c r="F230" s="24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4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4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4"/>
      <c r="AW230" s="23"/>
      <c r="AX230" s="23"/>
      <c r="AY230" s="23"/>
      <c r="AZ230" s="23"/>
      <c r="BA230" s="23"/>
      <c r="BB230" s="23"/>
      <c r="BC230" s="23"/>
      <c r="BD230" s="24"/>
      <c r="BE230" s="23"/>
      <c r="BF230" s="23"/>
      <c r="BG230" s="23"/>
      <c r="BH230" s="23"/>
      <c r="BI230" s="23"/>
      <c r="BJ230" s="23"/>
      <c r="BK230" s="23"/>
      <c r="BL230" s="23"/>
      <c r="BM230" s="23"/>
      <c r="BN230" s="24"/>
      <c r="BO230" s="23"/>
      <c r="BP230" s="23"/>
      <c r="BQ230" s="23"/>
      <c r="BR230" s="23"/>
      <c r="BS230" s="24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4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4"/>
      <c r="CS230" s="24"/>
      <c r="CT230" s="24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4"/>
      <c r="DM230" s="23"/>
      <c r="DN230" s="23"/>
      <c r="DO230" s="23"/>
      <c r="DP230" s="23"/>
      <c r="DQ230" s="23"/>
      <c r="DR230" s="24"/>
      <c r="DS230" s="24"/>
      <c r="DT230" s="24"/>
      <c r="DU230" s="23"/>
      <c r="DV230" s="23"/>
      <c r="DW230" s="23"/>
      <c r="DX230" s="23"/>
      <c r="DY230" s="23"/>
      <c r="DZ230" s="23"/>
      <c r="EA230" s="24"/>
    </row>
    <row r="231" spans="1:131">
      <c r="A231" s="24"/>
      <c r="B231" s="24"/>
      <c r="C231" s="24"/>
      <c r="D231" s="24"/>
      <c r="E231" s="24"/>
      <c r="F231" s="24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4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4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4"/>
      <c r="AW231" s="23"/>
      <c r="AX231" s="23"/>
      <c r="AY231" s="23"/>
      <c r="AZ231" s="23"/>
      <c r="BA231" s="23"/>
      <c r="BB231" s="23"/>
      <c r="BC231" s="23"/>
      <c r="BD231" s="24"/>
      <c r="BE231" s="23"/>
      <c r="BF231" s="23"/>
      <c r="BG231" s="23"/>
      <c r="BH231" s="23"/>
      <c r="BI231" s="23"/>
      <c r="BJ231" s="23"/>
      <c r="BK231" s="23"/>
      <c r="BL231" s="23"/>
      <c r="BM231" s="23"/>
      <c r="BN231" s="24"/>
      <c r="BO231" s="23"/>
      <c r="BP231" s="23"/>
      <c r="BQ231" s="23"/>
      <c r="BR231" s="23"/>
      <c r="BS231" s="24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4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4"/>
      <c r="CS231" s="24"/>
      <c r="CT231" s="24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4"/>
      <c r="DM231" s="23"/>
      <c r="DN231" s="23"/>
      <c r="DO231" s="23"/>
      <c r="DP231" s="23"/>
      <c r="DQ231" s="23"/>
      <c r="DR231" s="24"/>
      <c r="DS231" s="24"/>
      <c r="DT231" s="24"/>
      <c r="DU231" s="23"/>
      <c r="DV231" s="23"/>
      <c r="DW231" s="23"/>
      <c r="DX231" s="23"/>
      <c r="DY231" s="23"/>
      <c r="DZ231" s="23"/>
      <c r="EA231" s="24"/>
    </row>
    <row r="232" spans="1:131">
      <c r="A232" s="24"/>
      <c r="B232" s="24"/>
      <c r="C232" s="24"/>
      <c r="D232" s="24"/>
      <c r="E232" s="24"/>
      <c r="F232" s="24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4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4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4"/>
      <c r="AW232" s="23"/>
      <c r="AX232" s="23"/>
      <c r="AY232" s="23"/>
      <c r="AZ232" s="23"/>
      <c r="BA232" s="23"/>
      <c r="BB232" s="23"/>
      <c r="BC232" s="23"/>
      <c r="BD232" s="24"/>
      <c r="BE232" s="23"/>
      <c r="BF232" s="23"/>
      <c r="BG232" s="23"/>
      <c r="BH232" s="23"/>
      <c r="BI232" s="23"/>
      <c r="BJ232" s="23"/>
      <c r="BK232" s="23"/>
      <c r="BL232" s="23"/>
      <c r="BM232" s="23"/>
      <c r="BN232" s="24"/>
      <c r="BO232" s="23"/>
      <c r="BP232" s="23"/>
      <c r="BQ232" s="23"/>
      <c r="BR232" s="23"/>
      <c r="BS232" s="24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4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4"/>
      <c r="CS232" s="24"/>
      <c r="CT232" s="24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4"/>
      <c r="DM232" s="23"/>
      <c r="DN232" s="23"/>
      <c r="DO232" s="23"/>
      <c r="DP232" s="23"/>
      <c r="DQ232" s="23"/>
      <c r="DR232" s="24"/>
      <c r="DS232" s="24"/>
      <c r="DT232" s="24"/>
      <c r="DU232" s="23"/>
      <c r="DV232" s="23"/>
      <c r="DW232" s="23"/>
      <c r="DX232" s="23"/>
      <c r="DY232" s="23"/>
      <c r="DZ232" s="23"/>
      <c r="EA232" s="24"/>
    </row>
    <row r="233" spans="1:131">
      <c r="A233" s="24"/>
      <c r="B233" s="24"/>
      <c r="C233" s="24"/>
      <c r="D233" s="24"/>
      <c r="E233" s="24"/>
      <c r="F233" s="24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4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4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4"/>
      <c r="AW233" s="23"/>
      <c r="AX233" s="23"/>
      <c r="AY233" s="23"/>
      <c r="AZ233" s="23"/>
      <c r="BA233" s="23"/>
      <c r="BB233" s="23"/>
      <c r="BC233" s="23"/>
      <c r="BD233" s="24"/>
      <c r="BE233" s="23"/>
      <c r="BF233" s="23"/>
      <c r="BG233" s="23"/>
      <c r="BH233" s="23"/>
      <c r="BI233" s="23"/>
      <c r="BJ233" s="23"/>
      <c r="BK233" s="23"/>
      <c r="BL233" s="23"/>
      <c r="BM233" s="23"/>
      <c r="BN233" s="24"/>
      <c r="BO233" s="23"/>
      <c r="BP233" s="23"/>
      <c r="BQ233" s="23"/>
      <c r="BR233" s="23"/>
      <c r="BS233" s="24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4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4"/>
      <c r="CS233" s="24"/>
      <c r="CT233" s="24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4"/>
      <c r="DM233" s="23"/>
      <c r="DN233" s="23"/>
      <c r="DO233" s="23"/>
      <c r="DP233" s="23"/>
      <c r="DQ233" s="23"/>
      <c r="DR233" s="24"/>
      <c r="DS233" s="24"/>
      <c r="DT233" s="24"/>
      <c r="DU233" s="23"/>
      <c r="DV233" s="23"/>
      <c r="DW233" s="23"/>
      <c r="DX233" s="23"/>
      <c r="DY233" s="23"/>
      <c r="DZ233" s="23"/>
      <c r="EA233" s="24"/>
    </row>
    <row r="234" spans="1:131">
      <c r="A234" s="24"/>
      <c r="B234" s="24"/>
      <c r="C234" s="24"/>
      <c r="D234" s="24"/>
      <c r="E234" s="24"/>
      <c r="F234" s="24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4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4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4"/>
      <c r="AW234" s="23"/>
      <c r="AX234" s="23"/>
      <c r="AY234" s="23"/>
      <c r="AZ234" s="23"/>
      <c r="BA234" s="23"/>
      <c r="BB234" s="23"/>
      <c r="BC234" s="23"/>
      <c r="BD234" s="24"/>
      <c r="BE234" s="23"/>
      <c r="BF234" s="23"/>
      <c r="BG234" s="23"/>
      <c r="BH234" s="23"/>
      <c r="BI234" s="23"/>
      <c r="BJ234" s="23"/>
      <c r="BK234" s="23"/>
      <c r="BL234" s="23"/>
      <c r="BM234" s="23"/>
      <c r="BN234" s="24"/>
      <c r="BO234" s="23"/>
      <c r="BP234" s="23"/>
      <c r="BQ234" s="23"/>
      <c r="BR234" s="23"/>
      <c r="BS234" s="24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4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4"/>
      <c r="CS234" s="24"/>
      <c r="CT234" s="24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4"/>
      <c r="DM234" s="23"/>
      <c r="DN234" s="23"/>
      <c r="DO234" s="23"/>
      <c r="DP234" s="23"/>
      <c r="DQ234" s="23"/>
      <c r="DR234" s="24"/>
      <c r="DS234" s="24"/>
      <c r="DT234" s="24"/>
      <c r="DU234" s="23"/>
      <c r="DV234" s="23"/>
      <c r="DW234" s="23"/>
      <c r="DX234" s="23"/>
      <c r="DY234" s="23"/>
      <c r="DZ234" s="23"/>
      <c r="EA234" s="24"/>
    </row>
    <row r="235" spans="1:131">
      <c r="A235" s="24"/>
      <c r="B235" s="24"/>
      <c r="C235" s="24"/>
      <c r="D235" s="24"/>
      <c r="E235" s="24"/>
      <c r="F235" s="24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4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4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4"/>
      <c r="AW235" s="23"/>
      <c r="AX235" s="23"/>
      <c r="AY235" s="23"/>
      <c r="AZ235" s="23"/>
      <c r="BA235" s="23"/>
      <c r="BB235" s="23"/>
      <c r="BC235" s="23"/>
      <c r="BD235" s="24"/>
      <c r="BE235" s="23"/>
      <c r="BF235" s="23"/>
      <c r="BG235" s="23"/>
      <c r="BH235" s="23"/>
      <c r="BI235" s="23"/>
      <c r="BJ235" s="23"/>
      <c r="BK235" s="23"/>
      <c r="BL235" s="23"/>
      <c r="BM235" s="23"/>
      <c r="BN235" s="24"/>
      <c r="BO235" s="23"/>
      <c r="BP235" s="23"/>
      <c r="BQ235" s="23"/>
      <c r="BR235" s="23"/>
      <c r="BS235" s="24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4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4"/>
      <c r="CS235" s="24"/>
      <c r="CT235" s="24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4"/>
      <c r="DM235" s="23"/>
      <c r="DN235" s="23"/>
      <c r="DO235" s="23"/>
      <c r="DP235" s="23"/>
      <c r="DQ235" s="23"/>
      <c r="DR235" s="24"/>
      <c r="DS235" s="24"/>
      <c r="DT235" s="24"/>
      <c r="DU235" s="23"/>
      <c r="DV235" s="23"/>
      <c r="DW235" s="23"/>
      <c r="DX235" s="23"/>
      <c r="DY235" s="23"/>
      <c r="DZ235" s="23"/>
      <c r="EA235" s="24"/>
    </row>
    <row r="236" spans="1:131">
      <c r="A236" s="24"/>
      <c r="B236" s="24"/>
      <c r="C236" s="24"/>
      <c r="D236" s="24"/>
      <c r="E236" s="24"/>
      <c r="F236" s="24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4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4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4"/>
      <c r="AW236" s="23"/>
      <c r="AX236" s="23"/>
      <c r="AY236" s="23"/>
      <c r="AZ236" s="23"/>
      <c r="BA236" s="23"/>
      <c r="BB236" s="23"/>
      <c r="BC236" s="23"/>
      <c r="BD236" s="24"/>
      <c r="BE236" s="23"/>
      <c r="BF236" s="23"/>
      <c r="BG236" s="23"/>
      <c r="BH236" s="23"/>
      <c r="BI236" s="23"/>
      <c r="BJ236" s="23"/>
      <c r="BK236" s="23"/>
      <c r="BL236" s="23"/>
      <c r="BM236" s="23"/>
      <c r="BN236" s="24"/>
      <c r="BO236" s="23"/>
      <c r="BP236" s="23"/>
      <c r="BQ236" s="23"/>
      <c r="BR236" s="23"/>
      <c r="BS236" s="24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4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4"/>
      <c r="CS236" s="24"/>
      <c r="CT236" s="24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4"/>
      <c r="DM236" s="23"/>
      <c r="DN236" s="23"/>
      <c r="DO236" s="23"/>
      <c r="DP236" s="23"/>
      <c r="DQ236" s="23"/>
      <c r="DR236" s="24"/>
      <c r="DS236" s="24"/>
      <c r="DT236" s="24"/>
      <c r="DU236" s="23"/>
      <c r="DV236" s="23"/>
      <c r="DW236" s="23"/>
      <c r="DX236" s="23"/>
      <c r="DY236" s="23"/>
      <c r="DZ236" s="23"/>
      <c r="EA236" s="24"/>
    </row>
    <row r="237" spans="1:131">
      <c r="A237" s="24"/>
      <c r="B237" s="24"/>
      <c r="C237" s="24"/>
      <c r="D237" s="24"/>
      <c r="E237" s="24"/>
      <c r="F237" s="24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4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4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4"/>
      <c r="AW237" s="23"/>
      <c r="AX237" s="23"/>
      <c r="AY237" s="23"/>
      <c r="AZ237" s="23"/>
      <c r="BA237" s="23"/>
      <c r="BB237" s="23"/>
      <c r="BC237" s="23"/>
      <c r="BD237" s="24"/>
      <c r="BE237" s="23"/>
      <c r="BF237" s="23"/>
      <c r="BG237" s="23"/>
      <c r="BH237" s="23"/>
      <c r="BI237" s="23"/>
      <c r="BJ237" s="23"/>
      <c r="BK237" s="23"/>
      <c r="BL237" s="23"/>
      <c r="BM237" s="23"/>
      <c r="BN237" s="24"/>
      <c r="BO237" s="23"/>
      <c r="BP237" s="23"/>
      <c r="BQ237" s="23"/>
      <c r="BR237" s="23"/>
      <c r="BS237" s="24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4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4"/>
      <c r="CS237" s="24"/>
      <c r="CT237" s="24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4"/>
      <c r="DM237" s="23"/>
      <c r="DN237" s="23"/>
      <c r="DO237" s="23"/>
      <c r="DP237" s="23"/>
      <c r="DQ237" s="23"/>
      <c r="DR237" s="24"/>
      <c r="DS237" s="24"/>
      <c r="DT237" s="24"/>
      <c r="DU237" s="23"/>
      <c r="DV237" s="23"/>
      <c r="DW237" s="23"/>
      <c r="DX237" s="23"/>
      <c r="DY237" s="23"/>
      <c r="DZ237" s="23"/>
      <c r="EA237" s="24"/>
    </row>
    <row r="238" spans="1:131">
      <c r="A238" s="24"/>
      <c r="B238" s="24"/>
      <c r="C238" s="24"/>
      <c r="D238" s="24"/>
      <c r="E238" s="24"/>
      <c r="F238" s="24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4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4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4"/>
      <c r="AW238" s="23"/>
      <c r="AX238" s="23"/>
      <c r="AY238" s="23"/>
      <c r="AZ238" s="23"/>
      <c r="BA238" s="23"/>
      <c r="BB238" s="23"/>
      <c r="BC238" s="23"/>
      <c r="BD238" s="24"/>
      <c r="BE238" s="23"/>
      <c r="BF238" s="23"/>
      <c r="BG238" s="23"/>
      <c r="BH238" s="23"/>
      <c r="BI238" s="23"/>
      <c r="BJ238" s="23"/>
      <c r="BK238" s="23"/>
      <c r="BL238" s="23"/>
      <c r="BM238" s="23"/>
      <c r="BN238" s="24"/>
      <c r="BO238" s="23"/>
      <c r="BP238" s="23"/>
      <c r="BQ238" s="23"/>
      <c r="BR238" s="23"/>
      <c r="BS238" s="24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4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4"/>
      <c r="CS238" s="24"/>
      <c r="CT238" s="24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4"/>
      <c r="DM238" s="23"/>
      <c r="DN238" s="23"/>
      <c r="DO238" s="23"/>
      <c r="DP238" s="23"/>
      <c r="DQ238" s="23"/>
      <c r="DR238" s="24"/>
      <c r="DS238" s="24"/>
      <c r="DT238" s="24"/>
      <c r="DU238" s="23"/>
      <c r="DV238" s="23"/>
      <c r="DW238" s="23"/>
      <c r="DX238" s="23"/>
      <c r="DY238" s="23"/>
      <c r="DZ238" s="23"/>
      <c r="EA238" s="24"/>
    </row>
    <row r="239" spans="1:131">
      <c r="A239" s="24"/>
      <c r="B239" s="24"/>
      <c r="C239" s="24"/>
      <c r="D239" s="24"/>
      <c r="E239" s="24"/>
      <c r="F239" s="24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4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4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4"/>
      <c r="AW239" s="23"/>
      <c r="AX239" s="23"/>
      <c r="AY239" s="23"/>
      <c r="AZ239" s="23"/>
      <c r="BA239" s="23"/>
      <c r="BB239" s="23"/>
      <c r="BC239" s="23"/>
      <c r="BD239" s="24"/>
      <c r="BE239" s="23"/>
      <c r="BF239" s="23"/>
      <c r="BG239" s="23"/>
      <c r="BH239" s="23"/>
      <c r="BI239" s="23"/>
      <c r="BJ239" s="23"/>
      <c r="BK239" s="23"/>
      <c r="BL239" s="23"/>
      <c r="BM239" s="23"/>
      <c r="BN239" s="24"/>
      <c r="BO239" s="23"/>
      <c r="BP239" s="23"/>
      <c r="BQ239" s="23"/>
      <c r="BR239" s="23"/>
      <c r="BS239" s="24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4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4"/>
      <c r="CS239" s="24"/>
      <c r="CT239" s="24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4"/>
      <c r="DM239" s="23"/>
      <c r="DN239" s="23"/>
      <c r="DO239" s="23"/>
      <c r="DP239" s="23"/>
      <c r="DQ239" s="23"/>
      <c r="DR239" s="24"/>
      <c r="DS239" s="24"/>
      <c r="DT239" s="24"/>
      <c r="DU239" s="23"/>
      <c r="DV239" s="23"/>
      <c r="DW239" s="23"/>
      <c r="DX239" s="23"/>
      <c r="DY239" s="23"/>
      <c r="DZ239" s="23"/>
      <c r="EA239" s="24"/>
    </row>
    <row r="240" spans="1:131">
      <c r="A240" s="24"/>
      <c r="B240" s="24"/>
      <c r="C240" s="24"/>
      <c r="D240" s="24"/>
      <c r="E240" s="24"/>
      <c r="F240" s="24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4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4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4"/>
      <c r="AW240" s="23"/>
      <c r="AX240" s="23"/>
      <c r="AY240" s="23"/>
      <c r="AZ240" s="23"/>
      <c r="BA240" s="23"/>
      <c r="BB240" s="23"/>
      <c r="BC240" s="23"/>
      <c r="BD240" s="24"/>
      <c r="BE240" s="23"/>
      <c r="BF240" s="23"/>
      <c r="BG240" s="23"/>
      <c r="BH240" s="23"/>
      <c r="BI240" s="23"/>
      <c r="BJ240" s="23"/>
      <c r="BK240" s="23"/>
      <c r="BL240" s="23"/>
      <c r="BM240" s="23"/>
      <c r="BN240" s="24"/>
      <c r="BO240" s="23"/>
      <c r="BP240" s="23"/>
      <c r="BQ240" s="23"/>
      <c r="BR240" s="23"/>
      <c r="BS240" s="24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4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4"/>
      <c r="CS240" s="24"/>
      <c r="CT240" s="24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4"/>
      <c r="DM240" s="23"/>
      <c r="DN240" s="23"/>
      <c r="DO240" s="23"/>
      <c r="DP240" s="23"/>
      <c r="DQ240" s="23"/>
      <c r="DR240" s="24"/>
      <c r="DS240" s="24"/>
      <c r="DT240" s="24"/>
      <c r="DU240" s="23"/>
      <c r="DV240" s="23"/>
      <c r="DW240" s="23"/>
      <c r="DX240" s="23"/>
      <c r="DY240" s="23"/>
      <c r="DZ240" s="23"/>
      <c r="EA240" s="24"/>
    </row>
    <row r="241" spans="1:131">
      <c r="A241" s="24"/>
      <c r="B241" s="24"/>
      <c r="C241" s="24"/>
      <c r="D241" s="24"/>
      <c r="E241" s="24"/>
      <c r="F241" s="24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4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4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4"/>
      <c r="AW241" s="23"/>
      <c r="AX241" s="23"/>
      <c r="AY241" s="23"/>
      <c r="AZ241" s="23"/>
      <c r="BA241" s="23"/>
      <c r="BB241" s="23"/>
      <c r="BC241" s="23"/>
      <c r="BD241" s="24"/>
      <c r="BE241" s="23"/>
      <c r="BF241" s="23"/>
      <c r="BG241" s="23"/>
      <c r="BH241" s="23"/>
      <c r="BI241" s="23"/>
      <c r="BJ241" s="23"/>
      <c r="BK241" s="23"/>
      <c r="BL241" s="23"/>
      <c r="BM241" s="23"/>
      <c r="BN241" s="24"/>
      <c r="BO241" s="23"/>
      <c r="BP241" s="23"/>
      <c r="BQ241" s="23"/>
      <c r="BR241" s="23"/>
      <c r="BS241" s="24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4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4"/>
      <c r="CS241" s="24"/>
      <c r="CT241" s="24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4"/>
      <c r="DM241" s="23"/>
      <c r="DN241" s="23"/>
      <c r="DO241" s="23"/>
      <c r="DP241" s="23"/>
      <c r="DQ241" s="23"/>
      <c r="DR241" s="24"/>
      <c r="DS241" s="24"/>
      <c r="DT241" s="24"/>
      <c r="DU241" s="23"/>
      <c r="DV241" s="23"/>
      <c r="DW241" s="23"/>
      <c r="DX241" s="23"/>
      <c r="DY241" s="23"/>
      <c r="DZ241" s="23"/>
      <c r="EA241" s="24"/>
    </row>
    <row r="242" spans="1:131">
      <c r="A242" s="24"/>
      <c r="B242" s="24"/>
      <c r="C242" s="24"/>
      <c r="D242" s="24"/>
      <c r="E242" s="24"/>
      <c r="F242" s="24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4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4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4"/>
      <c r="AW242" s="23"/>
      <c r="AX242" s="23"/>
      <c r="AY242" s="23"/>
      <c r="AZ242" s="23"/>
      <c r="BA242" s="23"/>
      <c r="BB242" s="23"/>
      <c r="BC242" s="23"/>
      <c r="BD242" s="24"/>
      <c r="BE242" s="23"/>
      <c r="BF242" s="23"/>
      <c r="BG242" s="23"/>
      <c r="BH242" s="23"/>
      <c r="BI242" s="23"/>
      <c r="BJ242" s="23"/>
      <c r="BK242" s="23"/>
      <c r="BL242" s="23"/>
      <c r="BM242" s="23"/>
      <c r="BN242" s="24"/>
      <c r="BO242" s="23"/>
      <c r="BP242" s="23"/>
      <c r="BQ242" s="23"/>
      <c r="BR242" s="23"/>
      <c r="BS242" s="24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4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4"/>
      <c r="CS242" s="24"/>
      <c r="CT242" s="24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4"/>
      <c r="DM242" s="23"/>
      <c r="DN242" s="23"/>
      <c r="DO242" s="23"/>
      <c r="DP242" s="23"/>
      <c r="DQ242" s="23"/>
      <c r="DR242" s="24"/>
      <c r="DS242" s="24"/>
      <c r="DT242" s="24"/>
      <c r="DU242" s="23"/>
      <c r="DV242" s="23"/>
      <c r="DW242" s="23"/>
      <c r="DX242" s="23"/>
      <c r="DY242" s="23"/>
      <c r="DZ242" s="23"/>
      <c r="EA242" s="24"/>
    </row>
    <row r="243" spans="1:131">
      <c r="A243" s="24"/>
      <c r="B243" s="24"/>
      <c r="C243" s="24"/>
      <c r="D243" s="24"/>
      <c r="E243" s="24"/>
      <c r="F243" s="24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4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4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4"/>
      <c r="AW243" s="23"/>
      <c r="AX243" s="23"/>
      <c r="AY243" s="23"/>
      <c r="AZ243" s="23"/>
      <c r="BA243" s="23"/>
      <c r="BB243" s="23"/>
      <c r="BC243" s="23"/>
      <c r="BD243" s="24"/>
      <c r="BE243" s="23"/>
      <c r="BF243" s="23"/>
      <c r="BG243" s="23"/>
      <c r="BH243" s="23"/>
      <c r="BI243" s="23"/>
      <c r="BJ243" s="23"/>
      <c r="BK243" s="23"/>
      <c r="BL243" s="23"/>
      <c r="BM243" s="23"/>
      <c r="BN243" s="24"/>
      <c r="BO243" s="23"/>
      <c r="BP243" s="23"/>
      <c r="BQ243" s="23"/>
      <c r="BR243" s="23"/>
      <c r="BS243" s="24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4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4"/>
      <c r="CS243" s="24"/>
      <c r="CT243" s="24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4"/>
      <c r="DM243" s="23"/>
      <c r="DN243" s="23"/>
      <c r="DO243" s="23"/>
      <c r="DP243" s="23"/>
      <c r="DQ243" s="23"/>
      <c r="DR243" s="24"/>
      <c r="DS243" s="24"/>
      <c r="DT243" s="24"/>
      <c r="DU243" s="23"/>
      <c r="DV243" s="23"/>
      <c r="DW243" s="23"/>
      <c r="DX243" s="23"/>
      <c r="DY243" s="23"/>
      <c r="DZ243" s="23"/>
      <c r="EA243" s="24"/>
    </row>
    <row r="244" spans="1:131">
      <c r="A244" s="24"/>
      <c r="B244" s="24"/>
      <c r="C244" s="24"/>
      <c r="D244" s="24"/>
      <c r="E244" s="24"/>
      <c r="F244" s="24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4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4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4"/>
      <c r="AW244" s="23"/>
      <c r="AX244" s="23"/>
      <c r="AY244" s="23"/>
      <c r="AZ244" s="23"/>
      <c r="BA244" s="23"/>
      <c r="BB244" s="23"/>
      <c r="BC244" s="23"/>
      <c r="BD244" s="24"/>
      <c r="BE244" s="23"/>
      <c r="BF244" s="23"/>
      <c r="BG244" s="23"/>
      <c r="BH244" s="23"/>
      <c r="BI244" s="23"/>
      <c r="BJ244" s="23"/>
      <c r="BK244" s="23"/>
      <c r="BL244" s="23"/>
      <c r="BM244" s="23"/>
      <c r="BN244" s="24"/>
      <c r="BO244" s="23"/>
      <c r="BP244" s="23"/>
      <c r="BQ244" s="23"/>
      <c r="BR244" s="23"/>
      <c r="BS244" s="24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4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4"/>
      <c r="CS244" s="24"/>
      <c r="CT244" s="24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4"/>
      <c r="DM244" s="23"/>
      <c r="DN244" s="23"/>
      <c r="DO244" s="23"/>
      <c r="DP244" s="23"/>
      <c r="DQ244" s="23"/>
      <c r="DR244" s="24"/>
      <c r="DS244" s="24"/>
      <c r="DT244" s="24"/>
      <c r="DU244" s="23"/>
      <c r="DV244" s="23"/>
      <c r="DW244" s="23"/>
      <c r="DX244" s="23"/>
      <c r="DY244" s="23"/>
      <c r="DZ244" s="23"/>
      <c r="EA244" s="24"/>
    </row>
    <row r="245" spans="1:131">
      <c r="A245" s="24"/>
      <c r="B245" s="24"/>
      <c r="C245" s="24"/>
      <c r="D245" s="24"/>
      <c r="E245" s="24"/>
      <c r="F245" s="24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4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4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4"/>
      <c r="AW245" s="23"/>
      <c r="AX245" s="23"/>
      <c r="AY245" s="23"/>
      <c r="AZ245" s="23"/>
      <c r="BA245" s="23"/>
      <c r="BB245" s="23"/>
      <c r="BC245" s="23"/>
      <c r="BD245" s="24"/>
      <c r="BE245" s="23"/>
      <c r="BF245" s="23"/>
      <c r="BG245" s="23"/>
      <c r="BH245" s="23"/>
      <c r="BI245" s="23"/>
      <c r="BJ245" s="23"/>
      <c r="BK245" s="23"/>
      <c r="BL245" s="23"/>
      <c r="BM245" s="23"/>
      <c r="BN245" s="24"/>
      <c r="BO245" s="23"/>
      <c r="BP245" s="23"/>
      <c r="BQ245" s="23"/>
      <c r="BR245" s="23"/>
      <c r="BS245" s="24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4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4"/>
      <c r="CS245" s="24"/>
      <c r="CT245" s="24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4"/>
      <c r="DM245" s="23"/>
      <c r="DN245" s="23"/>
      <c r="DO245" s="23"/>
      <c r="DP245" s="23"/>
      <c r="DQ245" s="23"/>
      <c r="DR245" s="24"/>
      <c r="DS245" s="24"/>
      <c r="DT245" s="24"/>
      <c r="DU245" s="23"/>
      <c r="DV245" s="23"/>
      <c r="DW245" s="23"/>
      <c r="DX245" s="23"/>
      <c r="DY245" s="23"/>
      <c r="DZ245" s="23"/>
      <c r="EA245" s="24"/>
    </row>
    <row r="246" spans="1:131">
      <c r="A246" s="24"/>
      <c r="B246" s="24"/>
      <c r="C246" s="24"/>
      <c r="D246" s="24"/>
      <c r="E246" s="24"/>
      <c r="F246" s="24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4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4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4"/>
      <c r="AW246" s="23"/>
      <c r="AX246" s="23"/>
      <c r="AY246" s="23"/>
      <c r="AZ246" s="23"/>
      <c r="BA246" s="23"/>
      <c r="BB246" s="23"/>
      <c r="BC246" s="23"/>
      <c r="BD246" s="24"/>
      <c r="BE246" s="23"/>
      <c r="BF246" s="23"/>
      <c r="BG246" s="23"/>
      <c r="BH246" s="23"/>
      <c r="BI246" s="23"/>
      <c r="BJ246" s="23"/>
      <c r="BK246" s="23"/>
      <c r="BL246" s="23"/>
      <c r="BM246" s="23"/>
      <c r="BN246" s="24"/>
      <c r="BO246" s="23"/>
      <c r="BP246" s="23"/>
      <c r="BQ246" s="23"/>
      <c r="BR246" s="23"/>
      <c r="BS246" s="24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4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4"/>
      <c r="CS246" s="24"/>
      <c r="CT246" s="24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4"/>
      <c r="DM246" s="23"/>
      <c r="DN246" s="23"/>
      <c r="DO246" s="23"/>
      <c r="DP246" s="23"/>
      <c r="DQ246" s="23"/>
      <c r="DR246" s="24"/>
      <c r="DS246" s="24"/>
      <c r="DT246" s="24"/>
      <c r="DU246" s="23"/>
      <c r="DV246" s="23"/>
      <c r="DW246" s="23"/>
      <c r="DX246" s="23"/>
      <c r="DY246" s="23"/>
      <c r="DZ246" s="23"/>
      <c r="EA246" s="24"/>
    </row>
    <row r="247" spans="1:131">
      <c r="A247" s="24"/>
      <c r="B247" s="24"/>
      <c r="C247" s="24"/>
      <c r="D247" s="24"/>
      <c r="E247" s="24"/>
      <c r="F247" s="24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4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4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4"/>
      <c r="AW247" s="23"/>
      <c r="AX247" s="23"/>
      <c r="AY247" s="23"/>
      <c r="AZ247" s="23"/>
      <c r="BA247" s="23"/>
      <c r="BB247" s="23"/>
      <c r="BC247" s="23"/>
      <c r="BD247" s="24"/>
      <c r="BE247" s="23"/>
      <c r="BF247" s="23"/>
      <c r="BG247" s="23"/>
      <c r="BH247" s="23"/>
      <c r="BI247" s="23"/>
      <c r="BJ247" s="23"/>
      <c r="BK247" s="23"/>
      <c r="BL247" s="23"/>
      <c r="BM247" s="23"/>
      <c r="BN247" s="24"/>
      <c r="BO247" s="23"/>
      <c r="BP247" s="23"/>
      <c r="BQ247" s="23"/>
      <c r="BR247" s="23"/>
      <c r="BS247" s="24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4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4"/>
      <c r="CS247" s="24"/>
      <c r="CT247" s="24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4"/>
      <c r="DM247" s="23"/>
      <c r="DN247" s="23"/>
      <c r="DO247" s="23"/>
      <c r="DP247" s="23"/>
      <c r="DQ247" s="23"/>
      <c r="DR247" s="24"/>
      <c r="DS247" s="24"/>
      <c r="DT247" s="24"/>
      <c r="DU247" s="23"/>
      <c r="DV247" s="23"/>
      <c r="DW247" s="23"/>
      <c r="DX247" s="23"/>
      <c r="DY247" s="23"/>
      <c r="DZ247" s="23"/>
      <c r="EA247" s="24"/>
    </row>
    <row r="248" spans="1:131">
      <c r="A248" s="24"/>
      <c r="B248" s="24"/>
      <c r="C248" s="24"/>
      <c r="D248" s="24"/>
      <c r="E248" s="24"/>
      <c r="F248" s="24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4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4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4"/>
      <c r="AW248" s="23"/>
      <c r="AX248" s="23"/>
      <c r="AY248" s="23"/>
      <c r="AZ248" s="23"/>
      <c r="BA248" s="23"/>
      <c r="BB248" s="23"/>
      <c r="BC248" s="23"/>
      <c r="BD248" s="24"/>
      <c r="BE248" s="23"/>
      <c r="BF248" s="23"/>
      <c r="BG248" s="23"/>
      <c r="BH248" s="23"/>
      <c r="BI248" s="23"/>
      <c r="BJ248" s="23"/>
      <c r="BK248" s="23"/>
      <c r="BL248" s="23"/>
      <c r="BM248" s="23"/>
      <c r="BN248" s="24"/>
      <c r="BO248" s="23"/>
      <c r="BP248" s="23"/>
      <c r="BQ248" s="23"/>
      <c r="BR248" s="23"/>
      <c r="BS248" s="24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4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4"/>
      <c r="CS248" s="24"/>
      <c r="CT248" s="24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4"/>
      <c r="DM248" s="23"/>
      <c r="DN248" s="23"/>
      <c r="DO248" s="23"/>
      <c r="DP248" s="23"/>
      <c r="DQ248" s="23"/>
      <c r="DR248" s="24"/>
      <c r="DS248" s="24"/>
      <c r="DT248" s="24"/>
      <c r="DU248" s="23"/>
      <c r="DV248" s="23"/>
      <c r="DW248" s="23"/>
      <c r="DX248" s="23"/>
      <c r="DY248" s="23"/>
      <c r="DZ248" s="23"/>
      <c r="EA248" s="24"/>
    </row>
    <row r="249" spans="1:131">
      <c r="A249" s="24"/>
      <c r="B249" s="24"/>
      <c r="C249" s="24"/>
      <c r="D249" s="24"/>
      <c r="E249" s="24"/>
      <c r="F249" s="24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4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4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4"/>
      <c r="AW249" s="23"/>
      <c r="AX249" s="23"/>
      <c r="AY249" s="23"/>
      <c r="AZ249" s="23"/>
      <c r="BA249" s="23"/>
      <c r="BB249" s="23"/>
      <c r="BC249" s="23"/>
      <c r="BD249" s="24"/>
      <c r="BE249" s="23"/>
      <c r="BF249" s="23"/>
      <c r="BG249" s="23"/>
      <c r="BH249" s="23"/>
      <c r="BI249" s="23"/>
      <c r="BJ249" s="23"/>
      <c r="BK249" s="23"/>
      <c r="BL249" s="23"/>
      <c r="BM249" s="23"/>
      <c r="BN249" s="24"/>
      <c r="BO249" s="23"/>
      <c r="BP249" s="23"/>
      <c r="BQ249" s="23"/>
      <c r="BR249" s="23"/>
      <c r="BS249" s="24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4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4"/>
      <c r="CS249" s="24"/>
      <c r="CT249" s="24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4"/>
      <c r="DM249" s="23"/>
      <c r="DN249" s="23"/>
      <c r="DO249" s="23"/>
      <c r="DP249" s="23"/>
      <c r="DQ249" s="23"/>
      <c r="DR249" s="24"/>
      <c r="DS249" s="24"/>
      <c r="DT249" s="24"/>
      <c r="DU249" s="23"/>
      <c r="DV249" s="23"/>
      <c r="DW249" s="23"/>
      <c r="DX249" s="23"/>
      <c r="DY249" s="23"/>
      <c r="DZ249" s="23"/>
      <c r="EA249" s="24"/>
    </row>
    <row r="250" spans="1:131">
      <c r="A250" s="24"/>
      <c r="B250" s="24"/>
      <c r="C250" s="24"/>
      <c r="D250" s="24"/>
      <c r="E250" s="24"/>
      <c r="F250" s="24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4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4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4"/>
      <c r="AW250" s="23"/>
      <c r="AX250" s="23"/>
      <c r="AY250" s="23"/>
      <c r="AZ250" s="23"/>
      <c r="BA250" s="23"/>
      <c r="BB250" s="23"/>
      <c r="BC250" s="23"/>
      <c r="BD250" s="24"/>
      <c r="BE250" s="23"/>
      <c r="BF250" s="23"/>
      <c r="BG250" s="23"/>
      <c r="BH250" s="23"/>
      <c r="BI250" s="23"/>
      <c r="BJ250" s="23"/>
      <c r="BK250" s="23"/>
      <c r="BL250" s="23"/>
      <c r="BM250" s="23"/>
      <c r="BN250" s="24"/>
      <c r="BO250" s="23"/>
      <c r="BP250" s="23"/>
      <c r="BQ250" s="23"/>
      <c r="BR250" s="23"/>
      <c r="BS250" s="24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4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4"/>
      <c r="CS250" s="24"/>
      <c r="CT250" s="24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4"/>
      <c r="DM250" s="23"/>
      <c r="DN250" s="23"/>
      <c r="DO250" s="23"/>
      <c r="DP250" s="23"/>
      <c r="DQ250" s="23"/>
      <c r="DR250" s="24"/>
      <c r="DS250" s="24"/>
      <c r="DT250" s="24"/>
      <c r="DU250" s="23"/>
      <c r="DV250" s="23"/>
      <c r="DW250" s="23"/>
      <c r="DX250" s="23"/>
      <c r="DY250" s="23"/>
      <c r="DZ250" s="23"/>
      <c r="EA250" s="24"/>
    </row>
    <row r="251" spans="1:131">
      <c r="A251" s="24"/>
      <c r="B251" s="24"/>
      <c r="C251" s="24"/>
      <c r="D251" s="24"/>
      <c r="E251" s="24"/>
      <c r="F251" s="24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4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4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4"/>
      <c r="AW251" s="23"/>
      <c r="AX251" s="23"/>
      <c r="AY251" s="23"/>
      <c r="AZ251" s="23"/>
      <c r="BA251" s="23"/>
      <c r="BB251" s="23"/>
      <c r="BC251" s="23"/>
      <c r="BD251" s="24"/>
      <c r="BE251" s="23"/>
      <c r="BF251" s="23"/>
      <c r="BG251" s="23"/>
      <c r="BH251" s="23"/>
      <c r="BI251" s="23"/>
      <c r="BJ251" s="23"/>
      <c r="BK251" s="23"/>
      <c r="BL251" s="23"/>
      <c r="BM251" s="23"/>
      <c r="BN251" s="24"/>
      <c r="BO251" s="23"/>
      <c r="BP251" s="23"/>
      <c r="BQ251" s="23"/>
      <c r="BR251" s="23"/>
      <c r="BS251" s="24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4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4"/>
      <c r="CS251" s="24"/>
      <c r="CT251" s="24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4"/>
      <c r="DM251" s="23"/>
      <c r="DN251" s="23"/>
      <c r="DO251" s="23"/>
      <c r="DP251" s="23"/>
      <c r="DQ251" s="23"/>
      <c r="DR251" s="24"/>
      <c r="DS251" s="24"/>
      <c r="DT251" s="24"/>
      <c r="DU251" s="23"/>
      <c r="DV251" s="23"/>
      <c r="DW251" s="23"/>
      <c r="DX251" s="23"/>
      <c r="DY251" s="23"/>
      <c r="DZ251" s="23"/>
      <c r="EA251" s="24"/>
    </row>
    <row r="252" spans="1:131">
      <c r="A252" s="24"/>
      <c r="B252" s="24"/>
      <c r="C252" s="24"/>
      <c r="D252" s="24"/>
      <c r="E252" s="24"/>
      <c r="F252" s="24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4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4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4"/>
      <c r="AW252" s="23"/>
      <c r="AX252" s="23"/>
      <c r="AY252" s="23"/>
      <c r="AZ252" s="23"/>
      <c r="BA252" s="23"/>
      <c r="BB252" s="23"/>
      <c r="BC252" s="23"/>
      <c r="BD252" s="24"/>
      <c r="BE252" s="23"/>
      <c r="BF252" s="23"/>
      <c r="BG252" s="23"/>
      <c r="BH252" s="23"/>
      <c r="BI252" s="23"/>
      <c r="BJ252" s="23"/>
      <c r="BK252" s="23"/>
      <c r="BL252" s="23"/>
      <c r="BM252" s="23"/>
      <c r="BN252" s="24"/>
      <c r="BO252" s="23"/>
      <c r="BP252" s="23"/>
      <c r="BQ252" s="23"/>
      <c r="BR252" s="23"/>
      <c r="BS252" s="24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4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4"/>
      <c r="CS252" s="24"/>
      <c r="CT252" s="24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4"/>
      <c r="DM252" s="23"/>
      <c r="DN252" s="23"/>
      <c r="DO252" s="23"/>
      <c r="DP252" s="23"/>
      <c r="DQ252" s="23"/>
      <c r="DR252" s="24"/>
      <c r="DS252" s="24"/>
      <c r="DT252" s="24"/>
      <c r="DU252" s="23"/>
      <c r="DV252" s="23"/>
      <c r="DW252" s="23"/>
      <c r="DX252" s="23"/>
      <c r="DY252" s="23"/>
      <c r="DZ252" s="23"/>
      <c r="EA252" s="24"/>
    </row>
    <row r="253" spans="1:131">
      <c r="A253" s="24"/>
      <c r="B253" s="24"/>
      <c r="C253" s="24"/>
      <c r="D253" s="24"/>
      <c r="E253" s="24"/>
      <c r="F253" s="24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4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4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4"/>
      <c r="AW253" s="23"/>
      <c r="AX253" s="23"/>
      <c r="AY253" s="23"/>
      <c r="AZ253" s="23"/>
      <c r="BA253" s="23"/>
      <c r="BB253" s="23"/>
      <c r="BC253" s="23"/>
      <c r="BD253" s="24"/>
      <c r="BE253" s="23"/>
      <c r="BF253" s="23"/>
      <c r="BG253" s="23"/>
      <c r="BH253" s="23"/>
      <c r="BI253" s="23"/>
      <c r="BJ253" s="23"/>
      <c r="BK253" s="23"/>
      <c r="BL253" s="23"/>
      <c r="BM253" s="23"/>
      <c r="BN253" s="24"/>
      <c r="BO253" s="23"/>
      <c r="BP253" s="23"/>
      <c r="BQ253" s="23"/>
      <c r="BR253" s="23"/>
      <c r="BS253" s="24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4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4"/>
      <c r="CS253" s="24"/>
      <c r="CT253" s="24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4"/>
      <c r="DM253" s="23"/>
      <c r="DN253" s="23"/>
      <c r="DO253" s="23"/>
      <c r="DP253" s="23"/>
      <c r="DQ253" s="23"/>
      <c r="DR253" s="24"/>
      <c r="DS253" s="24"/>
      <c r="DT253" s="24"/>
      <c r="DU253" s="23"/>
      <c r="DV253" s="23"/>
      <c r="DW253" s="23"/>
      <c r="DX253" s="23"/>
      <c r="DY253" s="23"/>
      <c r="DZ253" s="23"/>
      <c r="EA253" s="24"/>
    </row>
    <row r="254" spans="1:131">
      <c r="A254" s="24"/>
      <c r="B254" s="24"/>
      <c r="C254" s="24"/>
      <c r="D254" s="24"/>
      <c r="E254" s="24"/>
      <c r="F254" s="24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4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4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4"/>
      <c r="AW254" s="23"/>
      <c r="AX254" s="23"/>
      <c r="AY254" s="23"/>
      <c r="AZ254" s="23"/>
      <c r="BA254" s="23"/>
      <c r="BB254" s="23"/>
      <c r="BC254" s="23"/>
      <c r="BD254" s="24"/>
      <c r="BE254" s="23"/>
      <c r="BF254" s="23"/>
      <c r="BG254" s="23"/>
      <c r="BH254" s="23"/>
      <c r="BI254" s="23"/>
      <c r="BJ254" s="23"/>
      <c r="BK254" s="23"/>
      <c r="BL254" s="23"/>
      <c r="BM254" s="23"/>
      <c r="BN254" s="24"/>
      <c r="BO254" s="23"/>
      <c r="BP254" s="23"/>
      <c r="BQ254" s="23"/>
      <c r="BR254" s="23"/>
      <c r="BS254" s="24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4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4"/>
      <c r="CS254" s="24"/>
      <c r="CT254" s="24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4"/>
      <c r="DM254" s="23"/>
      <c r="DN254" s="23"/>
      <c r="DO254" s="23"/>
      <c r="DP254" s="23"/>
      <c r="DQ254" s="23"/>
      <c r="DR254" s="24"/>
      <c r="DS254" s="24"/>
      <c r="DT254" s="24"/>
      <c r="DU254" s="23"/>
      <c r="DV254" s="23"/>
      <c r="DW254" s="23"/>
      <c r="DX254" s="23"/>
      <c r="DY254" s="23"/>
      <c r="DZ254" s="23"/>
      <c r="EA254" s="24"/>
    </row>
    <row r="255" spans="1:131">
      <c r="A255" s="24"/>
      <c r="B255" s="24"/>
      <c r="C255" s="24"/>
      <c r="D255" s="24"/>
      <c r="E255" s="24"/>
      <c r="F255" s="24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4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4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4"/>
      <c r="AW255" s="23"/>
      <c r="AX255" s="23"/>
      <c r="AY255" s="23"/>
      <c r="AZ255" s="23"/>
      <c r="BA255" s="23"/>
      <c r="BB255" s="23"/>
      <c r="BC255" s="23"/>
      <c r="BD255" s="24"/>
      <c r="BE255" s="23"/>
      <c r="BF255" s="23"/>
      <c r="BG255" s="23"/>
      <c r="BH255" s="23"/>
      <c r="BI255" s="23"/>
      <c r="BJ255" s="23"/>
      <c r="BK255" s="23"/>
      <c r="BL255" s="23"/>
      <c r="BM255" s="23"/>
      <c r="BN255" s="24"/>
      <c r="BO255" s="23"/>
      <c r="BP255" s="23"/>
      <c r="BQ255" s="23"/>
      <c r="BR255" s="23"/>
      <c r="BS255" s="24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4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4"/>
      <c r="CS255" s="24"/>
      <c r="CT255" s="24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4"/>
      <c r="DM255" s="23"/>
      <c r="DN255" s="23"/>
      <c r="DO255" s="23"/>
      <c r="DP255" s="23"/>
      <c r="DQ255" s="23"/>
      <c r="DR255" s="24"/>
      <c r="DS255" s="24"/>
      <c r="DT255" s="24"/>
      <c r="DU255" s="23"/>
      <c r="DV255" s="23"/>
      <c r="DW255" s="23"/>
      <c r="DX255" s="23"/>
      <c r="DY255" s="23"/>
      <c r="DZ255" s="23"/>
      <c r="EA255" s="24"/>
    </row>
    <row r="256" spans="1:131">
      <c r="A256" s="24"/>
      <c r="B256" s="24"/>
      <c r="C256" s="24"/>
      <c r="D256" s="24"/>
      <c r="E256" s="24"/>
      <c r="F256" s="24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4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4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4"/>
      <c r="AW256" s="23"/>
      <c r="AX256" s="23"/>
      <c r="AY256" s="23"/>
      <c r="AZ256" s="23"/>
      <c r="BA256" s="23"/>
      <c r="BB256" s="23"/>
      <c r="BC256" s="23"/>
      <c r="BD256" s="24"/>
      <c r="BE256" s="23"/>
      <c r="BF256" s="23"/>
      <c r="BG256" s="23"/>
      <c r="BH256" s="23"/>
      <c r="BI256" s="23"/>
      <c r="BJ256" s="23"/>
      <c r="BK256" s="23"/>
      <c r="BL256" s="23"/>
      <c r="BM256" s="23"/>
      <c r="BN256" s="24"/>
      <c r="BO256" s="23"/>
      <c r="BP256" s="23"/>
      <c r="BQ256" s="23"/>
      <c r="BR256" s="23"/>
      <c r="BS256" s="24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4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4"/>
      <c r="CS256" s="24"/>
      <c r="CT256" s="24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4"/>
      <c r="DM256" s="23"/>
      <c r="DN256" s="23"/>
      <c r="DO256" s="23"/>
      <c r="DP256" s="23"/>
      <c r="DQ256" s="23"/>
      <c r="DR256" s="24"/>
      <c r="DS256" s="24"/>
      <c r="DT256" s="24"/>
      <c r="DU256" s="23"/>
      <c r="DV256" s="23"/>
      <c r="DW256" s="23"/>
      <c r="DX256" s="23"/>
      <c r="DY256" s="23"/>
      <c r="DZ256" s="23"/>
      <c r="EA256" s="24"/>
    </row>
    <row r="257" spans="1:131">
      <c r="A257" s="24"/>
      <c r="B257" s="24"/>
      <c r="C257" s="24"/>
      <c r="D257" s="24"/>
      <c r="E257" s="24"/>
      <c r="F257" s="24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4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4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4"/>
      <c r="AW257" s="23"/>
      <c r="AX257" s="23"/>
      <c r="AY257" s="23"/>
      <c r="AZ257" s="23"/>
      <c r="BA257" s="23"/>
      <c r="BB257" s="23"/>
      <c r="BC257" s="23"/>
      <c r="BD257" s="24"/>
      <c r="BE257" s="23"/>
      <c r="BF257" s="23"/>
      <c r="BG257" s="23"/>
      <c r="BH257" s="23"/>
      <c r="BI257" s="23"/>
      <c r="BJ257" s="23"/>
      <c r="BK257" s="23"/>
      <c r="BL257" s="23"/>
      <c r="BM257" s="23"/>
      <c r="BN257" s="24"/>
      <c r="BO257" s="23"/>
      <c r="BP257" s="23"/>
      <c r="BQ257" s="23"/>
      <c r="BR257" s="23"/>
      <c r="BS257" s="24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4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4"/>
      <c r="CS257" s="24"/>
      <c r="CT257" s="24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4"/>
      <c r="DM257" s="23"/>
      <c r="DN257" s="23"/>
      <c r="DO257" s="23"/>
      <c r="DP257" s="23"/>
      <c r="DQ257" s="23"/>
      <c r="DR257" s="24"/>
      <c r="DS257" s="24"/>
      <c r="DT257" s="24"/>
      <c r="DU257" s="23"/>
      <c r="DV257" s="23"/>
      <c r="DW257" s="23"/>
      <c r="DX257" s="23"/>
      <c r="DY257" s="23"/>
      <c r="DZ257" s="23"/>
      <c r="EA257" s="24"/>
    </row>
    <row r="258" spans="1:131">
      <c r="A258" s="24"/>
      <c r="B258" s="24"/>
      <c r="C258" s="24"/>
      <c r="D258" s="24"/>
      <c r="E258" s="24"/>
      <c r="F258" s="24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4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4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4"/>
      <c r="AW258" s="23"/>
      <c r="AX258" s="23"/>
      <c r="AY258" s="23"/>
      <c r="AZ258" s="23"/>
      <c r="BA258" s="23"/>
      <c r="BB258" s="23"/>
      <c r="BC258" s="23"/>
      <c r="BD258" s="24"/>
      <c r="BE258" s="23"/>
      <c r="BF258" s="23"/>
      <c r="BG258" s="23"/>
      <c r="BH258" s="23"/>
      <c r="BI258" s="23"/>
      <c r="BJ258" s="23"/>
      <c r="BK258" s="23"/>
      <c r="BL258" s="23"/>
      <c r="BM258" s="23"/>
      <c r="BN258" s="24"/>
      <c r="BO258" s="23"/>
      <c r="BP258" s="23"/>
      <c r="BQ258" s="23"/>
      <c r="BR258" s="23"/>
      <c r="BS258" s="24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4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4"/>
      <c r="CS258" s="24"/>
      <c r="CT258" s="24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4"/>
      <c r="DM258" s="23"/>
      <c r="DN258" s="23"/>
      <c r="DO258" s="23"/>
      <c r="DP258" s="23"/>
      <c r="DQ258" s="23"/>
      <c r="DR258" s="24"/>
      <c r="DS258" s="24"/>
      <c r="DT258" s="24"/>
      <c r="DU258" s="23"/>
      <c r="DV258" s="23"/>
      <c r="DW258" s="23"/>
      <c r="DX258" s="23"/>
      <c r="DY258" s="23"/>
      <c r="DZ258" s="23"/>
      <c r="EA258" s="24"/>
    </row>
    <row r="259" spans="1:131">
      <c r="A259" s="24"/>
      <c r="B259" s="24"/>
      <c r="C259" s="24"/>
      <c r="D259" s="24"/>
      <c r="E259" s="24"/>
      <c r="F259" s="24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4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4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4"/>
      <c r="AW259" s="23"/>
      <c r="AX259" s="23"/>
      <c r="AY259" s="23"/>
      <c r="AZ259" s="23"/>
      <c r="BA259" s="23"/>
      <c r="BB259" s="23"/>
      <c r="BC259" s="23"/>
      <c r="BD259" s="24"/>
      <c r="BE259" s="23"/>
      <c r="BF259" s="23"/>
      <c r="BG259" s="23"/>
      <c r="BH259" s="23"/>
      <c r="BI259" s="23"/>
      <c r="BJ259" s="23"/>
      <c r="BK259" s="23"/>
      <c r="BL259" s="23"/>
      <c r="BM259" s="23"/>
      <c r="BN259" s="24"/>
      <c r="BO259" s="23"/>
      <c r="BP259" s="23"/>
      <c r="BQ259" s="23"/>
      <c r="BR259" s="23"/>
      <c r="BS259" s="24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4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4"/>
      <c r="CS259" s="24"/>
      <c r="CT259" s="24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4"/>
      <c r="DM259" s="23"/>
      <c r="DN259" s="23"/>
      <c r="DO259" s="23"/>
      <c r="DP259" s="23"/>
      <c r="DQ259" s="23"/>
      <c r="DR259" s="24"/>
      <c r="DS259" s="24"/>
      <c r="DT259" s="24"/>
      <c r="DU259" s="23"/>
      <c r="DV259" s="23"/>
      <c r="DW259" s="23"/>
      <c r="DX259" s="23"/>
      <c r="DY259" s="23"/>
      <c r="DZ259" s="23"/>
      <c r="EA259" s="24"/>
    </row>
    <row r="260" spans="1:131">
      <c r="A260" s="24"/>
      <c r="B260" s="24"/>
      <c r="C260" s="24"/>
      <c r="D260" s="24"/>
      <c r="E260" s="24"/>
      <c r="F260" s="24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4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4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4"/>
      <c r="AW260" s="23"/>
      <c r="AX260" s="23"/>
      <c r="AY260" s="23"/>
      <c r="AZ260" s="23"/>
      <c r="BA260" s="23"/>
      <c r="BB260" s="23"/>
      <c r="BC260" s="23"/>
      <c r="BD260" s="24"/>
      <c r="BE260" s="23"/>
      <c r="BF260" s="23"/>
      <c r="BG260" s="23"/>
      <c r="BH260" s="23"/>
      <c r="BI260" s="23"/>
      <c r="BJ260" s="23"/>
      <c r="BK260" s="23"/>
      <c r="BL260" s="23"/>
      <c r="BM260" s="23"/>
      <c r="BN260" s="24"/>
      <c r="BO260" s="23"/>
      <c r="BP260" s="23"/>
      <c r="BQ260" s="23"/>
      <c r="BR260" s="23"/>
      <c r="BS260" s="24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4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4"/>
      <c r="CS260" s="24"/>
      <c r="CT260" s="24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4"/>
      <c r="DM260" s="23"/>
      <c r="DN260" s="23"/>
      <c r="DO260" s="23"/>
      <c r="DP260" s="23"/>
      <c r="DQ260" s="23"/>
      <c r="DR260" s="24"/>
      <c r="DS260" s="24"/>
      <c r="DT260" s="24"/>
      <c r="DU260" s="23"/>
      <c r="DV260" s="23"/>
      <c r="DW260" s="23"/>
      <c r="DX260" s="23"/>
      <c r="DY260" s="23"/>
      <c r="DZ260" s="23"/>
      <c r="EA260" s="24"/>
    </row>
    <row r="261" spans="1:131">
      <c r="A261" s="24"/>
      <c r="B261" s="24"/>
      <c r="C261" s="24"/>
      <c r="D261" s="24"/>
      <c r="E261" s="24"/>
      <c r="F261" s="24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4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4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4"/>
      <c r="AW261" s="23"/>
      <c r="AX261" s="23"/>
      <c r="AY261" s="23"/>
      <c r="AZ261" s="23"/>
      <c r="BA261" s="23"/>
      <c r="BB261" s="23"/>
      <c r="BC261" s="23"/>
      <c r="BD261" s="24"/>
      <c r="BE261" s="23"/>
      <c r="BF261" s="23"/>
      <c r="BG261" s="23"/>
      <c r="BH261" s="23"/>
      <c r="BI261" s="23"/>
      <c r="BJ261" s="23"/>
      <c r="BK261" s="23"/>
      <c r="BL261" s="23"/>
      <c r="BM261" s="23"/>
      <c r="BN261" s="24"/>
      <c r="BO261" s="23"/>
      <c r="BP261" s="23"/>
      <c r="BQ261" s="23"/>
      <c r="BR261" s="23"/>
      <c r="BS261" s="24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4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4"/>
      <c r="CS261" s="24"/>
      <c r="CT261" s="24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4"/>
      <c r="DM261" s="23"/>
      <c r="DN261" s="23"/>
      <c r="DO261" s="23"/>
      <c r="DP261" s="23"/>
      <c r="DQ261" s="23"/>
      <c r="DR261" s="24"/>
      <c r="DS261" s="24"/>
      <c r="DT261" s="24"/>
      <c r="DU261" s="23"/>
      <c r="DV261" s="23"/>
      <c r="DW261" s="23"/>
      <c r="DX261" s="23"/>
      <c r="DY261" s="23"/>
      <c r="DZ261" s="23"/>
      <c r="EA261" s="24"/>
    </row>
    <row r="262" spans="1:131">
      <c r="A262" s="24"/>
      <c r="B262" s="24"/>
      <c r="C262" s="24"/>
      <c r="D262" s="24"/>
      <c r="E262" s="24"/>
      <c r="F262" s="24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4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4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4"/>
      <c r="AW262" s="23"/>
      <c r="AX262" s="23"/>
      <c r="AY262" s="23"/>
      <c r="AZ262" s="23"/>
      <c r="BA262" s="23"/>
      <c r="BB262" s="23"/>
      <c r="BC262" s="23"/>
      <c r="BD262" s="24"/>
      <c r="BE262" s="23"/>
      <c r="BF262" s="23"/>
      <c r="BG262" s="23"/>
      <c r="BH262" s="23"/>
      <c r="BI262" s="23"/>
      <c r="BJ262" s="23"/>
      <c r="BK262" s="23"/>
      <c r="BL262" s="23"/>
      <c r="BM262" s="23"/>
      <c r="BN262" s="24"/>
      <c r="BO262" s="23"/>
      <c r="BP262" s="23"/>
      <c r="BQ262" s="23"/>
      <c r="BR262" s="23"/>
      <c r="BS262" s="24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4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4"/>
      <c r="CS262" s="24"/>
      <c r="CT262" s="24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4"/>
      <c r="DM262" s="23"/>
      <c r="DN262" s="23"/>
      <c r="DO262" s="23"/>
      <c r="DP262" s="23"/>
      <c r="DQ262" s="23"/>
      <c r="DR262" s="24"/>
      <c r="DS262" s="24"/>
      <c r="DT262" s="24"/>
      <c r="DU262" s="23"/>
      <c r="DV262" s="23"/>
      <c r="DW262" s="23"/>
      <c r="DX262" s="23"/>
      <c r="DY262" s="23"/>
      <c r="DZ262" s="23"/>
      <c r="EA262" s="24"/>
    </row>
    <row r="263" spans="1:131">
      <c r="A263" s="24"/>
      <c r="B263" s="24"/>
      <c r="C263" s="24"/>
      <c r="D263" s="24"/>
      <c r="E263" s="24"/>
      <c r="F263" s="24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4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4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4"/>
      <c r="AW263" s="23"/>
      <c r="AX263" s="23"/>
      <c r="AY263" s="23"/>
      <c r="AZ263" s="23"/>
      <c r="BA263" s="23"/>
      <c r="BB263" s="23"/>
      <c r="BC263" s="23"/>
      <c r="BD263" s="24"/>
      <c r="BE263" s="23"/>
      <c r="BF263" s="23"/>
      <c r="BG263" s="23"/>
      <c r="BH263" s="23"/>
      <c r="BI263" s="23"/>
      <c r="BJ263" s="23"/>
      <c r="BK263" s="23"/>
      <c r="BL263" s="23"/>
      <c r="BM263" s="23"/>
      <c r="BN263" s="24"/>
      <c r="BO263" s="23"/>
      <c r="BP263" s="23"/>
      <c r="BQ263" s="23"/>
      <c r="BR263" s="23"/>
      <c r="BS263" s="24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4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4"/>
      <c r="CS263" s="24"/>
      <c r="CT263" s="24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4"/>
      <c r="DM263" s="23"/>
      <c r="DN263" s="23"/>
      <c r="DO263" s="23"/>
      <c r="DP263" s="23"/>
      <c r="DQ263" s="23"/>
      <c r="DR263" s="24"/>
      <c r="DS263" s="24"/>
      <c r="DT263" s="24"/>
      <c r="DU263" s="23"/>
      <c r="DV263" s="23"/>
      <c r="DW263" s="23"/>
      <c r="DX263" s="23"/>
      <c r="DY263" s="23"/>
      <c r="DZ263" s="23"/>
      <c r="EA263" s="24"/>
    </row>
    <row r="264" spans="1:131">
      <c r="A264" s="24"/>
      <c r="B264" s="24"/>
      <c r="C264" s="24"/>
      <c r="D264" s="24"/>
      <c r="E264" s="24"/>
      <c r="F264" s="24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4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4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4"/>
      <c r="AW264" s="23"/>
      <c r="AX264" s="23"/>
      <c r="AY264" s="23"/>
      <c r="AZ264" s="23"/>
      <c r="BA264" s="23"/>
      <c r="BB264" s="23"/>
      <c r="BC264" s="23"/>
      <c r="BD264" s="24"/>
      <c r="BE264" s="23"/>
      <c r="BF264" s="23"/>
      <c r="BG264" s="23"/>
      <c r="BH264" s="23"/>
      <c r="BI264" s="23"/>
      <c r="BJ264" s="23"/>
      <c r="BK264" s="23"/>
      <c r="BL264" s="23"/>
      <c r="BM264" s="23"/>
      <c r="BN264" s="24"/>
      <c r="BO264" s="23"/>
      <c r="BP264" s="23"/>
      <c r="BQ264" s="23"/>
      <c r="BR264" s="23"/>
      <c r="BS264" s="24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4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4"/>
      <c r="CS264" s="24"/>
      <c r="CT264" s="24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4"/>
      <c r="DM264" s="23"/>
      <c r="DN264" s="23"/>
      <c r="DO264" s="23"/>
      <c r="DP264" s="23"/>
      <c r="DQ264" s="23"/>
      <c r="DR264" s="24"/>
      <c r="DS264" s="24"/>
      <c r="DT264" s="24"/>
      <c r="DU264" s="23"/>
      <c r="DV264" s="23"/>
      <c r="DW264" s="23"/>
      <c r="DX264" s="23"/>
      <c r="DY264" s="23"/>
      <c r="DZ264" s="23"/>
      <c r="EA264" s="24"/>
    </row>
    <row r="265" spans="1:131">
      <c r="A265" s="24"/>
      <c r="B265" s="24"/>
      <c r="C265" s="24"/>
      <c r="D265" s="24"/>
      <c r="E265" s="24"/>
      <c r="F265" s="24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4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4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4"/>
      <c r="AW265" s="23"/>
      <c r="AX265" s="23"/>
      <c r="AY265" s="23"/>
      <c r="AZ265" s="23"/>
      <c r="BA265" s="23"/>
      <c r="BB265" s="23"/>
      <c r="BC265" s="23"/>
      <c r="BD265" s="24"/>
      <c r="BE265" s="23"/>
      <c r="BF265" s="23"/>
      <c r="BG265" s="23"/>
      <c r="BH265" s="23"/>
      <c r="BI265" s="23"/>
      <c r="BJ265" s="23"/>
      <c r="BK265" s="23"/>
      <c r="BL265" s="23"/>
      <c r="BM265" s="23"/>
      <c r="BN265" s="24"/>
      <c r="BO265" s="23"/>
      <c r="BP265" s="23"/>
      <c r="BQ265" s="23"/>
      <c r="BR265" s="23"/>
      <c r="BS265" s="24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4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4"/>
      <c r="CS265" s="24"/>
      <c r="CT265" s="24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4"/>
      <c r="DM265" s="23"/>
      <c r="DN265" s="23"/>
      <c r="DO265" s="23"/>
      <c r="DP265" s="23"/>
      <c r="DQ265" s="23"/>
      <c r="DR265" s="24"/>
      <c r="DS265" s="24"/>
      <c r="DT265" s="24"/>
      <c r="DU265" s="23"/>
      <c r="DV265" s="23"/>
      <c r="DW265" s="23"/>
      <c r="DX265" s="23"/>
      <c r="DY265" s="23"/>
      <c r="DZ265" s="23"/>
      <c r="EA265" s="24"/>
    </row>
    <row r="266" spans="1:131">
      <c r="A266" s="24"/>
      <c r="B266" s="24"/>
      <c r="C266" s="24"/>
      <c r="D266" s="24"/>
      <c r="E266" s="24"/>
      <c r="F266" s="24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4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4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4"/>
      <c r="AW266" s="23"/>
      <c r="AX266" s="23"/>
      <c r="AY266" s="23"/>
      <c r="AZ266" s="23"/>
      <c r="BA266" s="23"/>
      <c r="BB266" s="23"/>
      <c r="BC266" s="23"/>
      <c r="BD266" s="24"/>
      <c r="BE266" s="23"/>
      <c r="BF266" s="23"/>
      <c r="BG266" s="23"/>
      <c r="BH266" s="23"/>
      <c r="BI266" s="23"/>
      <c r="BJ266" s="23"/>
      <c r="BK266" s="23"/>
      <c r="BL266" s="23"/>
      <c r="BM266" s="23"/>
      <c r="BN266" s="24"/>
      <c r="BO266" s="23"/>
      <c r="BP266" s="23"/>
      <c r="BQ266" s="23"/>
      <c r="BR266" s="23"/>
      <c r="BS266" s="24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4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4"/>
      <c r="CS266" s="24"/>
      <c r="CT266" s="24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4"/>
      <c r="DM266" s="23"/>
      <c r="DN266" s="23"/>
      <c r="DO266" s="23"/>
      <c r="DP266" s="23"/>
      <c r="DQ266" s="23"/>
      <c r="DR266" s="24"/>
      <c r="DS266" s="24"/>
      <c r="DT266" s="24"/>
      <c r="DU266" s="23"/>
      <c r="DV266" s="23"/>
      <c r="DW266" s="23"/>
      <c r="DX266" s="23"/>
      <c r="DY266" s="23"/>
      <c r="DZ266" s="23"/>
      <c r="EA266" s="24"/>
    </row>
    <row r="267" spans="1:131">
      <c r="A267" s="24"/>
      <c r="B267" s="24"/>
      <c r="C267" s="24"/>
      <c r="D267" s="24"/>
      <c r="E267" s="24"/>
      <c r="F267" s="24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4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4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4"/>
      <c r="AW267" s="23"/>
      <c r="AX267" s="23"/>
      <c r="AY267" s="23"/>
      <c r="AZ267" s="23"/>
      <c r="BA267" s="23"/>
      <c r="BB267" s="23"/>
      <c r="BC267" s="23"/>
      <c r="BD267" s="24"/>
      <c r="BE267" s="23"/>
      <c r="BF267" s="23"/>
      <c r="BG267" s="23"/>
      <c r="BH267" s="23"/>
      <c r="BI267" s="23"/>
      <c r="BJ267" s="23"/>
      <c r="BK267" s="23"/>
      <c r="BL267" s="23"/>
      <c r="BM267" s="23"/>
      <c r="BN267" s="24"/>
      <c r="BO267" s="23"/>
      <c r="BP267" s="23"/>
      <c r="BQ267" s="23"/>
      <c r="BR267" s="23"/>
      <c r="BS267" s="24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4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4"/>
      <c r="CS267" s="24"/>
      <c r="CT267" s="24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4"/>
      <c r="DM267" s="23"/>
      <c r="DN267" s="23"/>
      <c r="DO267" s="23"/>
      <c r="DP267" s="23"/>
      <c r="DQ267" s="23"/>
      <c r="DR267" s="24"/>
      <c r="DS267" s="24"/>
      <c r="DT267" s="24"/>
      <c r="DU267" s="23"/>
      <c r="DV267" s="23"/>
      <c r="DW267" s="23"/>
      <c r="DX267" s="23"/>
      <c r="DY267" s="23"/>
      <c r="DZ267" s="23"/>
      <c r="EA267" s="24"/>
    </row>
    <row r="268" spans="1:131">
      <c r="A268" s="24"/>
      <c r="B268" s="24"/>
      <c r="C268" s="24"/>
      <c r="D268" s="24"/>
      <c r="E268" s="24"/>
      <c r="F268" s="24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4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4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4"/>
      <c r="AW268" s="23"/>
      <c r="AX268" s="23"/>
      <c r="AY268" s="23"/>
      <c r="AZ268" s="23"/>
      <c r="BA268" s="23"/>
      <c r="BB268" s="23"/>
      <c r="BC268" s="23"/>
      <c r="BD268" s="24"/>
      <c r="BE268" s="23"/>
      <c r="BF268" s="23"/>
      <c r="BG268" s="23"/>
      <c r="BH268" s="23"/>
      <c r="BI268" s="23"/>
      <c r="BJ268" s="23"/>
      <c r="BK268" s="23"/>
      <c r="BL268" s="23"/>
      <c r="BM268" s="23"/>
      <c r="BN268" s="24"/>
      <c r="BO268" s="23"/>
      <c r="BP268" s="23"/>
      <c r="BQ268" s="23"/>
      <c r="BR268" s="23"/>
      <c r="BS268" s="24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4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4"/>
      <c r="CS268" s="24"/>
      <c r="CT268" s="24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4"/>
      <c r="DM268" s="23"/>
      <c r="DN268" s="23"/>
      <c r="DO268" s="23"/>
      <c r="DP268" s="23"/>
      <c r="DQ268" s="23"/>
      <c r="DR268" s="24"/>
      <c r="DS268" s="24"/>
      <c r="DT268" s="24"/>
      <c r="DU268" s="23"/>
      <c r="DV268" s="23"/>
      <c r="DW268" s="23"/>
      <c r="DX268" s="23"/>
      <c r="DY268" s="23"/>
      <c r="DZ268" s="23"/>
      <c r="EA268" s="24"/>
    </row>
    <row r="269" spans="1:131">
      <c r="A269" s="24"/>
      <c r="B269" s="24"/>
      <c r="C269" s="24"/>
      <c r="D269" s="24"/>
      <c r="E269" s="24"/>
      <c r="F269" s="24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4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4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4"/>
      <c r="AW269" s="23"/>
      <c r="AX269" s="23"/>
      <c r="AY269" s="23"/>
      <c r="AZ269" s="23"/>
      <c r="BA269" s="23"/>
      <c r="BB269" s="23"/>
      <c r="BC269" s="23"/>
      <c r="BD269" s="24"/>
      <c r="BE269" s="23"/>
      <c r="BF269" s="23"/>
      <c r="BG269" s="23"/>
      <c r="BH269" s="23"/>
      <c r="BI269" s="23"/>
      <c r="BJ269" s="23"/>
      <c r="BK269" s="23"/>
      <c r="BL269" s="23"/>
      <c r="BM269" s="23"/>
      <c r="BN269" s="24"/>
      <c r="BO269" s="23"/>
      <c r="BP269" s="23"/>
      <c r="BQ269" s="23"/>
      <c r="BR269" s="23"/>
      <c r="BS269" s="24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4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4"/>
      <c r="CS269" s="24"/>
      <c r="CT269" s="24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4"/>
      <c r="DM269" s="23"/>
      <c r="DN269" s="23"/>
      <c r="DO269" s="23"/>
      <c r="DP269" s="23"/>
      <c r="DQ269" s="23"/>
      <c r="DR269" s="24"/>
      <c r="DS269" s="24"/>
      <c r="DT269" s="24"/>
      <c r="DU269" s="23"/>
      <c r="DV269" s="23"/>
      <c r="DW269" s="23"/>
      <c r="DX269" s="23"/>
      <c r="DY269" s="23"/>
      <c r="DZ269" s="23"/>
      <c r="EA269" s="24"/>
    </row>
    <row r="270" spans="1:131">
      <c r="A270" s="24"/>
      <c r="B270" s="24"/>
      <c r="C270" s="24"/>
      <c r="D270" s="24"/>
      <c r="E270" s="24"/>
      <c r="F270" s="24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4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4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4"/>
      <c r="AW270" s="23"/>
      <c r="AX270" s="23"/>
      <c r="AY270" s="23"/>
      <c r="AZ270" s="23"/>
      <c r="BA270" s="23"/>
      <c r="BB270" s="23"/>
      <c r="BC270" s="23"/>
      <c r="BD270" s="24"/>
      <c r="BE270" s="23"/>
      <c r="BF270" s="23"/>
      <c r="BG270" s="23"/>
      <c r="BH270" s="23"/>
      <c r="BI270" s="23"/>
      <c r="BJ270" s="23"/>
      <c r="BK270" s="23"/>
      <c r="BL270" s="23"/>
      <c r="BM270" s="23"/>
      <c r="BN270" s="24"/>
      <c r="BO270" s="23"/>
      <c r="BP270" s="23"/>
      <c r="BQ270" s="23"/>
      <c r="BR270" s="23"/>
      <c r="BS270" s="24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4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4"/>
      <c r="CS270" s="24"/>
      <c r="CT270" s="24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4"/>
      <c r="DM270" s="23"/>
      <c r="DN270" s="23"/>
      <c r="DO270" s="23"/>
      <c r="DP270" s="23"/>
      <c r="DQ270" s="23"/>
      <c r="DR270" s="24"/>
      <c r="DS270" s="24"/>
      <c r="DT270" s="24"/>
      <c r="DU270" s="23"/>
      <c r="DV270" s="23"/>
      <c r="DW270" s="23"/>
      <c r="DX270" s="23"/>
      <c r="DY270" s="23"/>
      <c r="DZ270" s="23"/>
      <c r="EA270" s="24"/>
    </row>
    <row r="271" spans="1:131">
      <c r="A271" s="24"/>
      <c r="B271" s="24"/>
      <c r="C271" s="24"/>
      <c r="D271" s="24"/>
      <c r="E271" s="24"/>
      <c r="F271" s="24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4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4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4"/>
      <c r="AW271" s="23"/>
      <c r="AX271" s="23"/>
      <c r="AY271" s="23"/>
      <c r="AZ271" s="23"/>
      <c r="BA271" s="23"/>
      <c r="BB271" s="23"/>
      <c r="BC271" s="23"/>
      <c r="BD271" s="24"/>
      <c r="BE271" s="23"/>
      <c r="BF271" s="23"/>
      <c r="BG271" s="23"/>
      <c r="BH271" s="23"/>
      <c r="BI271" s="23"/>
      <c r="BJ271" s="23"/>
      <c r="BK271" s="23"/>
      <c r="BL271" s="23"/>
      <c r="BM271" s="23"/>
      <c r="BN271" s="24"/>
      <c r="BO271" s="23"/>
      <c r="BP271" s="23"/>
      <c r="BQ271" s="23"/>
      <c r="BR271" s="23"/>
      <c r="BS271" s="24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4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4"/>
      <c r="CS271" s="24"/>
      <c r="CT271" s="24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4"/>
      <c r="DM271" s="23"/>
      <c r="DN271" s="23"/>
      <c r="DO271" s="23"/>
      <c r="DP271" s="23"/>
      <c r="DQ271" s="23"/>
      <c r="DR271" s="24"/>
      <c r="DS271" s="24"/>
      <c r="DT271" s="24"/>
      <c r="DU271" s="23"/>
      <c r="DV271" s="23"/>
      <c r="DW271" s="23"/>
      <c r="DX271" s="23"/>
      <c r="DY271" s="23"/>
      <c r="DZ271" s="23"/>
      <c r="EA271" s="24"/>
    </row>
    <row r="272" spans="1:131">
      <c r="A272" s="24"/>
      <c r="B272" s="24"/>
      <c r="C272" s="24"/>
      <c r="D272" s="24"/>
      <c r="E272" s="24"/>
      <c r="F272" s="24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4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4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4"/>
      <c r="AW272" s="23"/>
      <c r="AX272" s="23"/>
      <c r="AY272" s="23"/>
      <c r="AZ272" s="23"/>
      <c r="BA272" s="23"/>
      <c r="BB272" s="23"/>
      <c r="BC272" s="23"/>
      <c r="BD272" s="24"/>
      <c r="BE272" s="23"/>
      <c r="BF272" s="23"/>
      <c r="BG272" s="23"/>
      <c r="BH272" s="23"/>
      <c r="BI272" s="23"/>
      <c r="BJ272" s="23"/>
      <c r="BK272" s="23"/>
      <c r="BL272" s="23"/>
      <c r="BM272" s="23"/>
      <c r="BN272" s="24"/>
      <c r="BO272" s="23"/>
      <c r="BP272" s="23"/>
      <c r="BQ272" s="23"/>
      <c r="BR272" s="23"/>
      <c r="BS272" s="24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4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4"/>
      <c r="CS272" s="24"/>
      <c r="CT272" s="24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4"/>
      <c r="DM272" s="23"/>
      <c r="DN272" s="23"/>
      <c r="DO272" s="23"/>
      <c r="DP272" s="23"/>
      <c r="DQ272" s="23"/>
      <c r="DR272" s="24"/>
      <c r="DS272" s="24"/>
      <c r="DT272" s="24"/>
      <c r="DU272" s="23"/>
      <c r="DV272" s="23"/>
      <c r="DW272" s="23"/>
      <c r="DX272" s="23"/>
      <c r="DY272" s="23"/>
      <c r="DZ272" s="23"/>
      <c r="EA272" s="24"/>
    </row>
    <row r="273" spans="1:131">
      <c r="A273" s="24"/>
      <c r="B273" s="24"/>
      <c r="C273" s="24"/>
      <c r="D273" s="24"/>
      <c r="E273" s="24"/>
      <c r="F273" s="24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4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4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4"/>
      <c r="AW273" s="23"/>
      <c r="AX273" s="23"/>
      <c r="AY273" s="23"/>
      <c r="AZ273" s="23"/>
      <c r="BA273" s="23"/>
      <c r="BB273" s="23"/>
      <c r="BC273" s="23"/>
      <c r="BD273" s="24"/>
      <c r="BE273" s="23"/>
      <c r="BF273" s="23"/>
      <c r="BG273" s="23"/>
      <c r="BH273" s="23"/>
      <c r="BI273" s="23"/>
      <c r="BJ273" s="23"/>
      <c r="BK273" s="23"/>
      <c r="BL273" s="23"/>
      <c r="BM273" s="23"/>
      <c r="BN273" s="24"/>
      <c r="BO273" s="23"/>
      <c r="BP273" s="23"/>
      <c r="BQ273" s="23"/>
      <c r="BR273" s="23"/>
      <c r="BS273" s="24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4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4"/>
      <c r="CS273" s="24"/>
      <c r="CT273" s="24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4"/>
      <c r="DM273" s="23"/>
      <c r="DN273" s="23"/>
      <c r="DO273" s="23"/>
      <c r="DP273" s="23"/>
      <c r="DQ273" s="23"/>
      <c r="DR273" s="24"/>
      <c r="DS273" s="24"/>
      <c r="DT273" s="24"/>
      <c r="DU273" s="23"/>
      <c r="DV273" s="23"/>
      <c r="DW273" s="23"/>
      <c r="DX273" s="23"/>
      <c r="DY273" s="23"/>
      <c r="DZ273" s="23"/>
      <c r="EA273" s="24"/>
    </row>
    <row r="274" spans="1:131">
      <c r="A274" s="24"/>
      <c r="B274" s="24"/>
      <c r="C274" s="24"/>
      <c r="D274" s="24"/>
      <c r="E274" s="24"/>
      <c r="F274" s="24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4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4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4"/>
      <c r="AW274" s="23"/>
      <c r="AX274" s="23"/>
      <c r="AY274" s="23"/>
      <c r="AZ274" s="23"/>
      <c r="BA274" s="23"/>
      <c r="BB274" s="23"/>
      <c r="BC274" s="23"/>
      <c r="BD274" s="24"/>
      <c r="BE274" s="23"/>
      <c r="BF274" s="23"/>
      <c r="BG274" s="23"/>
      <c r="BH274" s="23"/>
      <c r="BI274" s="23"/>
      <c r="BJ274" s="23"/>
      <c r="BK274" s="23"/>
      <c r="BL274" s="23"/>
      <c r="BM274" s="23"/>
      <c r="BN274" s="24"/>
      <c r="BO274" s="23"/>
      <c r="BP274" s="23"/>
      <c r="BQ274" s="23"/>
      <c r="BR274" s="23"/>
      <c r="BS274" s="24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4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4"/>
      <c r="CS274" s="24"/>
      <c r="CT274" s="24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4"/>
      <c r="DM274" s="23"/>
      <c r="DN274" s="23"/>
      <c r="DO274" s="23"/>
      <c r="DP274" s="23"/>
      <c r="DQ274" s="23"/>
      <c r="DR274" s="24"/>
      <c r="DS274" s="24"/>
      <c r="DT274" s="24"/>
      <c r="DU274" s="23"/>
      <c r="DV274" s="23"/>
      <c r="DW274" s="23"/>
      <c r="DX274" s="23"/>
      <c r="DY274" s="23"/>
      <c r="DZ274" s="23"/>
      <c r="EA274" s="24"/>
    </row>
    <row r="275" spans="1:131">
      <c r="A275" s="24"/>
      <c r="B275" s="24"/>
      <c r="C275" s="24"/>
      <c r="D275" s="24"/>
      <c r="E275" s="24"/>
      <c r="F275" s="24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4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4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4"/>
      <c r="AW275" s="23"/>
      <c r="AX275" s="23"/>
      <c r="AY275" s="23"/>
      <c r="AZ275" s="23"/>
      <c r="BA275" s="23"/>
      <c r="BB275" s="23"/>
      <c r="BC275" s="23"/>
      <c r="BD275" s="24"/>
      <c r="BE275" s="23"/>
      <c r="BF275" s="23"/>
      <c r="BG275" s="23"/>
      <c r="BH275" s="23"/>
      <c r="BI275" s="23"/>
      <c r="BJ275" s="23"/>
      <c r="BK275" s="23"/>
      <c r="BL275" s="23"/>
      <c r="BM275" s="23"/>
      <c r="BN275" s="24"/>
      <c r="BO275" s="23"/>
      <c r="BP275" s="23"/>
      <c r="BQ275" s="23"/>
      <c r="BR275" s="23"/>
      <c r="BS275" s="24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4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4"/>
      <c r="CS275" s="24"/>
      <c r="CT275" s="24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4"/>
      <c r="DM275" s="23"/>
      <c r="DN275" s="23"/>
      <c r="DO275" s="23"/>
      <c r="DP275" s="23"/>
      <c r="DQ275" s="23"/>
      <c r="DR275" s="24"/>
      <c r="DS275" s="24"/>
      <c r="DT275" s="24"/>
      <c r="DU275" s="23"/>
      <c r="DV275" s="23"/>
      <c r="DW275" s="23"/>
      <c r="DX275" s="23"/>
      <c r="DY275" s="23"/>
      <c r="DZ275" s="23"/>
      <c r="EA275" s="24"/>
    </row>
    <row r="276" spans="1:131">
      <c r="A276" s="24"/>
      <c r="B276" s="24"/>
      <c r="C276" s="24"/>
      <c r="D276" s="24"/>
      <c r="E276" s="24"/>
      <c r="F276" s="24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4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4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4"/>
      <c r="AW276" s="23"/>
      <c r="AX276" s="23"/>
      <c r="AY276" s="23"/>
      <c r="AZ276" s="23"/>
      <c r="BA276" s="23"/>
      <c r="BB276" s="23"/>
      <c r="BC276" s="23"/>
      <c r="BD276" s="24"/>
      <c r="BE276" s="23"/>
      <c r="BF276" s="23"/>
      <c r="BG276" s="23"/>
      <c r="BH276" s="23"/>
      <c r="BI276" s="23"/>
      <c r="BJ276" s="23"/>
      <c r="BK276" s="23"/>
      <c r="BL276" s="23"/>
      <c r="BM276" s="23"/>
      <c r="BN276" s="24"/>
      <c r="BO276" s="23"/>
      <c r="BP276" s="23"/>
      <c r="BQ276" s="23"/>
      <c r="BR276" s="23"/>
      <c r="BS276" s="24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4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4"/>
      <c r="CS276" s="24"/>
      <c r="CT276" s="24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4"/>
      <c r="DM276" s="23"/>
      <c r="DN276" s="23"/>
      <c r="DO276" s="23"/>
      <c r="DP276" s="23"/>
      <c r="DQ276" s="23"/>
      <c r="DR276" s="24"/>
      <c r="DS276" s="24"/>
      <c r="DT276" s="24"/>
      <c r="DU276" s="23"/>
      <c r="DV276" s="23"/>
      <c r="DW276" s="23"/>
      <c r="DX276" s="23"/>
      <c r="DY276" s="23"/>
      <c r="DZ276" s="23"/>
      <c r="EA276" s="24"/>
    </row>
    <row r="277" spans="1:131">
      <c r="A277" s="24"/>
      <c r="B277" s="24"/>
      <c r="C277" s="24"/>
      <c r="D277" s="24"/>
      <c r="E277" s="24"/>
      <c r="F277" s="24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4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4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4"/>
      <c r="AW277" s="23"/>
      <c r="AX277" s="23"/>
      <c r="AY277" s="23"/>
      <c r="AZ277" s="23"/>
      <c r="BA277" s="23"/>
      <c r="BB277" s="23"/>
      <c r="BC277" s="23"/>
      <c r="BD277" s="24"/>
      <c r="BE277" s="23"/>
      <c r="BF277" s="23"/>
      <c r="BG277" s="23"/>
      <c r="BH277" s="23"/>
      <c r="BI277" s="23"/>
      <c r="BJ277" s="23"/>
      <c r="BK277" s="23"/>
      <c r="BL277" s="23"/>
      <c r="BM277" s="23"/>
      <c r="BN277" s="24"/>
      <c r="BO277" s="23"/>
      <c r="BP277" s="23"/>
      <c r="BQ277" s="23"/>
      <c r="BR277" s="23"/>
      <c r="BS277" s="24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4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4"/>
      <c r="CS277" s="24"/>
      <c r="CT277" s="24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4"/>
      <c r="DM277" s="23"/>
      <c r="DN277" s="23"/>
      <c r="DO277" s="23"/>
      <c r="DP277" s="23"/>
      <c r="DQ277" s="23"/>
      <c r="DR277" s="24"/>
      <c r="DS277" s="24"/>
      <c r="DT277" s="24"/>
      <c r="DU277" s="23"/>
      <c r="DV277" s="23"/>
      <c r="DW277" s="23"/>
      <c r="DX277" s="23"/>
      <c r="DY277" s="23"/>
      <c r="DZ277" s="23"/>
      <c r="EA277" s="24"/>
    </row>
    <row r="278" spans="1:131">
      <c r="A278" s="24"/>
      <c r="B278" s="24"/>
      <c r="C278" s="24"/>
      <c r="D278" s="24"/>
      <c r="E278" s="24"/>
      <c r="F278" s="24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4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4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4"/>
      <c r="AW278" s="23"/>
      <c r="AX278" s="23"/>
      <c r="AY278" s="23"/>
      <c r="AZ278" s="23"/>
      <c r="BA278" s="23"/>
      <c r="BB278" s="23"/>
      <c r="BC278" s="23"/>
      <c r="BD278" s="24"/>
      <c r="BE278" s="23"/>
      <c r="BF278" s="23"/>
      <c r="BG278" s="23"/>
      <c r="BH278" s="23"/>
      <c r="BI278" s="23"/>
      <c r="BJ278" s="23"/>
      <c r="BK278" s="23"/>
      <c r="BL278" s="23"/>
      <c r="BM278" s="23"/>
      <c r="BN278" s="24"/>
      <c r="BO278" s="23"/>
      <c r="BP278" s="23"/>
      <c r="BQ278" s="23"/>
      <c r="BR278" s="23"/>
      <c r="BS278" s="24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4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4"/>
      <c r="CS278" s="24"/>
      <c r="CT278" s="24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4"/>
      <c r="DM278" s="23"/>
      <c r="DN278" s="23"/>
      <c r="DO278" s="23"/>
      <c r="DP278" s="23"/>
      <c r="DQ278" s="23"/>
      <c r="DR278" s="24"/>
      <c r="DS278" s="24"/>
      <c r="DT278" s="24"/>
      <c r="DU278" s="23"/>
      <c r="DV278" s="23"/>
      <c r="DW278" s="23"/>
      <c r="DX278" s="23"/>
      <c r="DY278" s="23"/>
      <c r="DZ278" s="23"/>
      <c r="EA278" s="24"/>
    </row>
    <row r="279" spans="1:131">
      <c r="A279" s="24"/>
      <c r="B279" s="24"/>
      <c r="C279" s="24"/>
      <c r="D279" s="24"/>
      <c r="E279" s="24"/>
      <c r="F279" s="24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4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4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4"/>
      <c r="AW279" s="23"/>
      <c r="AX279" s="23"/>
      <c r="AY279" s="23"/>
      <c r="AZ279" s="23"/>
      <c r="BA279" s="23"/>
      <c r="BB279" s="23"/>
      <c r="BC279" s="23"/>
      <c r="BD279" s="24"/>
      <c r="BE279" s="23"/>
      <c r="BF279" s="23"/>
      <c r="BG279" s="23"/>
      <c r="BH279" s="23"/>
      <c r="BI279" s="23"/>
      <c r="BJ279" s="23"/>
      <c r="BK279" s="23"/>
      <c r="BL279" s="23"/>
      <c r="BM279" s="23"/>
      <c r="BN279" s="24"/>
      <c r="BO279" s="23"/>
      <c r="BP279" s="23"/>
      <c r="BQ279" s="23"/>
      <c r="BR279" s="23"/>
      <c r="BS279" s="24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4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4"/>
      <c r="CS279" s="24"/>
      <c r="CT279" s="24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4"/>
      <c r="DM279" s="23"/>
      <c r="DN279" s="23"/>
      <c r="DO279" s="23"/>
      <c r="DP279" s="23"/>
      <c r="DQ279" s="23"/>
      <c r="DR279" s="24"/>
      <c r="DS279" s="24"/>
      <c r="DT279" s="24"/>
      <c r="DU279" s="23"/>
      <c r="DV279" s="23"/>
      <c r="DW279" s="23"/>
      <c r="DX279" s="23"/>
      <c r="DY279" s="23"/>
      <c r="DZ279" s="23"/>
      <c r="EA279" s="24"/>
    </row>
    <row r="280" spans="1:131">
      <c r="A280" s="24"/>
      <c r="B280" s="24"/>
      <c r="C280" s="24"/>
      <c r="D280" s="24"/>
      <c r="E280" s="24"/>
      <c r="F280" s="24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4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4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4"/>
      <c r="AW280" s="23"/>
      <c r="AX280" s="23"/>
      <c r="AY280" s="23"/>
      <c r="AZ280" s="23"/>
      <c r="BA280" s="23"/>
      <c r="BB280" s="23"/>
      <c r="BC280" s="23"/>
      <c r="BD280" s="24"/>
      <c r="BE280" s="23"/>
      <c r="BF280" s="23"/>
      <c r="BG280" s="23"/>
      <c r="BH280" s="23"/>
      <c r="BI280" s="23"/>
      <c r="BJ280" s="23"/>
      <c r="BK280" s="23"/>
      <c r="BL280" s="23"/>
      <c r="BM280" s="23"/>
      <c r="BN280" s="24"/>
      <c r="BO280" s="23"/>
      <c r="BP280" s="23"/>
      <c r="BQ280" s="23"/>
      <c r="BR280" s="23"/>
      <c r="BS280" s="24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4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4"/>
      <c r="CS280" s="24"/>
      <c r="CT280" s="24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4"/>
      <c r="DM280" s="23"/>
      <c r="DN280" s="23"/>
      <c r="DO280" s="23"/>
      <c r="DP280" s="23"/>
      <c r="DQ280" s="23"/>
      <c r="DR280" s="24"/>
      <c r="DS280" s="24"/>
      <c r="DT280" s="24"/>
      <c r="DU280" s="23"/>
      <c r="DV280" s="23"/>
      <c r="DW280" s="23"/>
      <c r="DX280" s="23"/>
      <c r="DY280" s="23"/>
      <c r="DZ280" s="23"/>
      <c r="EA280" s="24"/>
    </row>
    <row r="281" spans="1:131">
      <c r="A281" s="24"/>
      <c r="B281" s="24"/>
      <c r="C281" s="24"/>
      <c r="D281" s="24"/>
      <c r="E281" s="24"/>
      <c r="F281" s="24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4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4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4"/>
      <c r="AW281" s="23"/>
      <c r="AX281" s="23"/>
      <c r="AY281" s="23"/>
      <c r="AZ281" s="23"/>
      <c r="BA281" s="23"/>
      <c r="BB281" s="23"/>
      <c r="BC281" s="23"/>
      <c r="BD281" s="24"/>
      <c r="BE281" s="23"/>
      <c r="BF281" s="23"/>
      <c r="BG281" s="23"/>
      <c r="BH281" s="23"/>
      <c r="BI281" s="23"/>
      <c r="BJ281" s="23"/>
      <c r="BK281" s="23"/>
      <c r="BL281" s="23"/>
      <c r="BM281" s="23"/>
      <c r="BN281" s="24"/>
      <c r="BO281" s="23"/>
      <c r="BP281" s="23"/>
      <c r="BQ281" s="23"/>
      <c r="BR281" s="23"/>
      <c r="BS281" s="24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4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4"/>
      <c r="CS281" s="24"/>
      <c r="CT281" s="24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4"/>
      <c r="DM281" s="23"/>
      <c r="DN281" s="23"/>
      <c r="DO281" s="23"/>
      <c r="DP281" s="23"/>
      <c r="DQ281" s="23"/>
      <c r="DR281" s="24"/>
      <c r="DS281" s="24"/>
      <c r="DT281" s="24"/>
      <c r="DU281" s="23"/>
      <c r="DV281" s="23"/>
      <c r="DW281" s="23"/>
      <c r="DX281" s="23"/>
      <c r="DY281" s="23"/>
      <c r="DZ281" s="23"/>
      <c r="EA281" s="24"/>
    </row>
    <row r="282" spans="1:131">
      <c r="A282" s="24"/>
      <c r="B282" s="24"/>
      <c r="C282" s="24"/>
      <c r="D282" s="24"/>
      <c r="E282" s="24"/>
      <c r="F282" s="24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4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4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4"/>
      <c r="AW282" s="23"/>
      <c r="AX282" s="23"/>
      <c r="AY282" s="23"/>
      <c r="AZ282" s="23"/>
      <c r="BA282" s="23"/>
      <c r="BB282" s="23"/>
      <c r="BC282" s="23"/>
      <c r="BD282" s="24"/>
      <c r="BE282" s="23"/>
      <c r="BF282" s="23"/>
      <c r="BG282" s="23"/>
      <c r="BH282" s="23"/>
      <c r="BI282" s="23"/>
      <c r="BJ282" s="23"/>
      <c r="BK282" s="23"/>
      <c r="BL282" s="23"/>
      <c r="BM282" s="23"/>
      <c r="BN282" s="24"/>
      <c r="BO282" s="23"/>
      <c r="BP282" s="23"/>
      <c r="BQ282" s="23"/>
      <c r="BR282" s="23"/>
      <c r="BS282" s="24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4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4"/>
      <c r="CS282" s="24"/>
      <c r="CT282" s="24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4"/>
      <c r="DM282" s="23"/>
      <c r="DN282" s="23"/>
      <c r="DO282" s="23"/>
      <c r="DP282" s="23"/>
      <c r="DQ282" s="23"/>
      <c r="DR282" s="24"/>
      <c r="DS282" s="24"/>
      <c r="DT282" s="24"/>
      <c r="DU282" s="23"/>
      <c r="DV282" s="23"/>
      <c r="DW282" s="23"/>
      <c r="DX282" s="23"/>
      <c r="DY282" s="23"/>
      <c r="DZ282" s="23"/>
      <c r="EA282" s="24"/>
    </row>
    <row r="283" spans="1:131">
      <c r="A283" s="24"/>
      <c r="B283" s="24"/>
      <c r="C283" s="24"/>
      <c r="D283" s="24"/>
      <c r="E283" s="24"/>
      <c r="F283" s="24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4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4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4"/>
      <c r="AW283" s="23"/>
      <c r="AX283" s="23"/>
      <c r="AY283" s="23"/>
      <c r="AZ283" s="23"/>
      <c r="BA283" s="23"/>
      <c r="BB283" s="23"/>
      <c r="BC283" s="23"/>
      <c r="BD283" s="24"/>
      <c r="BE283" s="23"/>
      <c r="BF283" s="23"/>
      <c r="BG283" s="23"/>
      <c r="BH283" s="23"/>
      <c r="BI283" s="23"/>
      <c r="BJ283" s="23"/>
      <c r="BK283" s="23"/>
      <c r="BL283" s="23"/>
      <c r="BM283" s="23"/>
      <c r="BN283" s="24"/>
      <c r="BO283" s="23"/>
      <c r="BP283" s="23"/>
      <c r="BQ283" s="23"/>
      <c r="BR283" s="23"/>
      <c r="BS283" s="24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4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4"/>
      <c r="CS283" s="24"/>
      <c r="CT283" s="24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4"/>
      <c r="DM283" s="23"/>
      <c r="DN283" s="23"/>
      <c r="DO283" s="23"/>
      <c r="DP283" s="23"/>
      <c r="DQ283" s="23"/>
      <c r="DR283" s="24"/>
      <c r="DS283" s="24"/>
      <c r="DT283" s="24"/>
      <c r="DU283" s="23"/>
      <c r="DV283" s="23"/>
      <c r="DW283" s="23"/>
      <c r="DX283" s="23"/>
      <c r="DY283" s="23"/>
      <c r="DZ283" s="23"/>
      <c r="EA283" s="24"/>
    </row>
    <row r="284" spans="1:131">
      <c r="A284" s="24"/>
      <c r="B284" s="24"/>
      <c r="C284" s="24"/>
      <c r="D284" s="24"/>
      <c r="E284" s="24"/>
      <c r="F284" s="24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4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4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4"/>
      <c r="AW284" s="23"/>
      <c r="AX284" s="23"/>
      <c r="AY284" s="23"/>
      <c r="AZ284" s="23"/>
      <c r="BA284" s="23"/>
      <c r="BB284" s="23"/>
      <c r="BC284" s="23"/>
      <c r="BD284" s="24"/>
      <c r="BE284" s="23"/>
      <c r="BF284" s="23"/>
      <c r="BG284" s="23"/>
      <c r="BH284" s="23"/>
      <c r="BI284" s="23"/>
      <c r="BJ284" s="23"/>
      <c r="BK284" s="23"/>
      <c r="BL284" s="23"/>
      <c r="BM284" s="23"/>
      <c r="BN284" s="24"/>
      <c r="BO284" s="23"/>
      <c r="BP284" s="23"/>
      <c r="BQ284" s="23"/>
      <c r="BR284" s="23"/>
      <c r="BS284" s="24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4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4"/>
      <c r="CS284" s="24"/>
      <c r="CT284" s="24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4"/>
      <c r="DM284" s="23"/>
      <c r="DN284" s="23"/>
      <c r="DO284" s="23"/>
      <c r="DP284" s="23"/>
      <c r="DQ284" s="23"/>
      <c r="DR284" s="24"/>
      <c r="DS284" s="24"/>
      <c r="DT284" s="24"/>
      <c r="DU284" s="23"/>
      <c r="DV284" s="23"/>
      <c r="DW284" s="23"/>
      <c r="DX284" s="23"/>
      <c r="DY284" s="23"/>
      <c r="DZ284" s="23"/>
      <c r="EA284" s="24"/>
    </row>
    <row r="285" spans="1:131">
      <c r="A285" s="24"/>
      <c r="B285" s="24"/>
      <c r="C285" s="24"/>
      <c r="D285" s="24"/>
      <c r="E285" s="24"/>
      <c r="F285" s="24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4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4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4"/>
      <c r="AW285" s="23"/>
      <c r="AX285" s="23"/>
      <c r="AY285" s="23"/>
      <c r="AZ285" s="23"/>
      <c r="BA285" s="23"/>
      <c r="BB285" s="23"/>
      <c r="BC285" s="23"/>
      <c r="BD285" s="24"/>
      <c r="BE285" s="23"/>
      <c r="BF285" s="23"/>
      <c r="BG285" s="23"/>
      <c r="BH285" s="23"/>
      <c r="BI285" s="23"/>
      <c r="BJ285" s="23"/>
      <c r="BK285" s="23"/>
      <c r="BL285" s="23"/>
      <c r="BM285" s="23"/>
      <c r="BN285" s="24"/>
      <c r="BO285" s="23"/>
      <c r="BP285" s="23"/>
      <c r="BQ285" s="23"/>
      <c r="BR285" s="23"/>
      <c r="BS285" s="24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4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4"/>
      <c r="CS285" s="24"/>
      <c r="CT285" s="24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4"/>
      <c r="DM285" s="23"/>
      <c r="DN285" s="23"/>
      <c r="DO285" s="23"/>
      <c r="DP285" s="23"/>
      <c r="DQ285" s="23"/>
      <c r="DR285" s="24"/>
      <c r="DS285" s="24"/>
      <c r="DT285" s="24"/>
      <c r="DU285" s="23"/>
      <c r="DV285" s="23"/>
      <c r="DW285" s="23"/>
      <c r="DX285" s="23"/>
      <c r="DY285" s="23"/>
      <c r="DZ285" s="23"/>
      <c r="EA285" s="24"/>
    </row>
    <row r="286" spans="1:131">
      <c r="A286" s="24"/>
      <c r="B286" s="24"/>
      <c r="C286" s="24"/>
      <c r="D286" s="24"/>
      <c r="E286" s="24"/>
      <c r="F286" s="24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4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4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4"/>
      <c r="AW286" s="23"/>
      <c r="AX286" s="23"/>
      <c r="AY286" s="23"/>
      <c r="AZ286" s="23"/>
      <c r="BA286" s="23"/>
      <c r="BB286" s="23"/>
      <c r="BC286" s="23"/>
      <c r="BD286" s="24"/>
      <c r="BE286" s="23"/>
      <c r="BF286" s="23"/>
      <c r="BG286" s="23"/>
      <c r="BH286" s="23"/>
      <c r="BI286" s="23"/>
      <c r="BJ286" s="23"/>
      <c r="BK286" s="23"/>
      <c r="BL286" s="23"/>
      <c r="BM286" s="23"/>
      <c r="BN286" s="24"/>
      <c r="BO286" s="23"/>
      <c r="BP286" s="23"/>
      <c r="BQ286" s="23"/>
      <c r="BR286" s="23"/>
      <c r="BS286" s="24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4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4"/>
      <c r="CS286" s="24"/>
      <c r="CT286" s="24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4"/>
      <c r="DM286" s="23"/>
      <c r="DN286" s="23"/>
      <c r="DO286" s="23"/>
      <c r="DP286" s="23"/>
      <c r="DQ286" s="23"/>
      <c r="DR286" s="24"/>
      <c r="DS286" s="24"/>
      <c r="DT286" s="24"/>
      <c r="DU286" s="23"/>
      <c r="DV286" s="23"/>
      <c r="DW286" s="23"/>
      <c r="DX286" s="23"/>
      <c r="DY286" s="23"/>
      <c r="DZ286" s="23"/>
      <c r="EA286" s="24"/>
    </row>
    <row r="287" spans="1:131">
      <c r="A287" s="24"/>
      <c r="B287" s="24"/>
      <c r="C287" s="24"/>
      <c r="D287" s="24"/>
      <c r="E287" s="24"/>
      <c r="F287" s="24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4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4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4"/>
      <c r="AW287" s="23"/>
      <c r="AX287" s="23"/>
      <c r="AY287" s="23"/>
      <c r="AZ287" s="23"/>
      <c r="BA287" s="23"/>
      <c r="BB287" s="23"/>
      <c r="BC287" s="23"/>
      <c r="BD287" s="24"/>
      <c r="BE287" s="23"/>
      <c r="BF287" s="23"/>
      <c r="BG287" s="23"/>
      <c r="BH287" s="23"/>
      <c r="BI287" s="23"/>
      <c r="BJ287" s="23"/>
      <c r="BK287" s="23"/>
      <c r="BL287" s="23"/>
      <c r="BM287" s="23"/>
      <c r="BN287" s="24"/>
      <c r="BO287" s="23"/>
      <c r="BP287" s="23"/>
      <c r="BQ287" s="23"/>
      <c r="BR287" s="23"/>
      <c r="BS287" s="24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4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4"/>
      <c r="CS287" s="24"/>
      <c r="CT287" s="24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4"/>
      <c r="DM287" s="23"/>
      <c r="DN287" s="23"/>
      <c r="DO287" s="23"/>
      <c r="DP287" s="23"/>
      <c r="DQ287" s="23"/>
      <c r="DR287" s="24"/>
      <c r="DS287" s="24"/>
      <c r="DT287" s="24"/>
      <c r="DU287" s="23"/>
      <c r="DV287" s="23"/>
      <c r="DW287" s="23"/>
      <c r="DX287" s="23"/>
      <c r="DY287" s="23"/>
      <c r="DZ287" s="23"/>
      <c r="EA287" s="24"/>
    </row>
    <row r="288" spans="1:131">
      <c r="A288" s="24"/>
      <c r="B288" s="24"/>
      <c r="C288" s="24"/>
      <c r="D288" s="24"/>
      <c r="E288" s="24"/>
      <c r="F288" s="24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4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4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4"/>
      <c r="AW288" s="23"/>
      <c r="AX288" s="23"/>
      <c r="AY288" s="23"/>
      <c r="AZ288" s="23"/>
      <c r="BA288" s="23"/>
      <c r="BB288" s="23"/>
      <c r="BC288" s="23"/>
      <c r="BD288" s="24"/>
      <c r="BE288" s="23"/>
      <c r="BF288" s="23"/>
      <c r="BG288" s="23"/>
      <c r="BH288" s="23"/>
      <c r="BI288" s="23"/>
      <c r="BJ288" s="23"/>
      <c r="BK288" s="23"/>
      <c r="BL288" s="23"/>
      <c r="BM288" s="23"/>
      <c r="BN288" s="24"/>
      <c r="BO288" s="23"/>
      <c r="BP288" s="23"/>
      <c r="BQ288" s="23"/>
      <c r="BR288" s="23"/>
      <c r="BS288" s="24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4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4"/>
      <c r="CS288" s="24"/>
      <c r="CT288" s="24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4"/>
      <c r="DM288" s="23"/>
      <c r="DN288" s="23"/>
      <c r="DO288" s="23"/>
      <c r="DP288" s="23"/>
      <c r="DQ288" s="23"/>
      <c r="DR288" s="24"/>
      <c r="DS288" s="24"/>
      <c r="DT288" s="24"/>
      <c r="DU288" s="23"/>
      <c r="DV288" s="23"/>
      <c r="DW288" s="23"/>
      <c r="DX288" s="23"/>
      <c r="DY288" s="23"/>
      <c r="DZ288" s="23"/>
      <c r="EA288" s="24"/>
    </row>
    <row r="289" spans="1:131">
      <c r="A289" s="24"/>
      <c r="B289" s="24"/>
      <c r="C289" s="24"/>
      <c r="D289" s="24"/>
      <c r="E289" s="24"/>
      <c r="F289" s="24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4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4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4"/>
      <c r="AW289" s="23"/>
      <c r="AX289" s="23"/>
      <c r="AY289" s="23"/>
      <c r="AZ289" s="23"/>
      <c r="BA289" s="23"/>
      <c r="BB289" s="23"/>
      <c r="BC289" s="23"/>
      <c r="BD289" s="24"/>
      <c r="BE289" s="23"/>
      <c r="BF289" s="23"/>
      <c r="BG289" s="23"/>
      <c r="BH289" s="23"/>
      <c r="BI289" s="23"/>
      <c r="BJ289" s="23"/>
      <c r="BK289" s="23"/>
      <c r="BL289" s="23"/>
      <c r="BM289" s="23"/>
      <c r="BN289" s="24"/>
      <c r="BO289" s="23"/>
      <c r="BP289" s="23"/>
      <c r="BQ289" s="23"/>
      <c r="BR289" s="23"/>
      <c r="BS289" s="24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4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4"/>
      <c r="CS289" s="24"/>
      <c r="CT289" s="24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4"/>
      <c r="DM289" s="23"/>
      <c r="DN289" s="23"/>
      <c r="DO289" s="23"/>
      <c r="DP289" s="23"/>
      <c r="DQ289" s="23"/>
      <c r="DR289" s="24"/>
      <c r="DS289" s="24"/>
      <c r="DT289" s="24"/>
      <c r="DU289" s="23"/>
      <c r="DV289" s="23"/>
      <c r="DW289" s="23"/>
      <c r="DX289" s="23"/>
      <c r="DY289" s="23"/>
      <c r="DZ289" s="23"/>
      <c r="EA289" s="24"/>
    </row>
    <row r="290" spans="1:131">
      <c r="A290" s="24"/>
      <c r="B290" s="24"/>
      <c r="C290" s="24"/>
      <c r="D290" s="24"/>
      <c r="E290" s="24"/>
      <c r="F290" s="24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4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4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4"/>
      <c r="AW290" s="23"/>
      <c r="AX290" s="23"/>
      <c r="AY290" s="23"/>
      <c r="AZ290" s="23"/>
      <c r="BA290" s="23"/>
      <c r="BB290" s="23"/>
      <c r="BC290" s="23"/>
      <c r="BD290" s="24"/>
      <c r="BE290" s="23"/>
      <c r="BF290" s="23"/>
      <c r="BG290" s="23"/>
      <c r="BH290" s="23"/>
      <c r="BI290" s="23"/>
      <c r="BJ290" s="23"/>
      <c r="BK290" s="23"/>
      <c r="BL290" s="23"/>
      <c r="BM290" s="23"/>
      <c r="BN290" s="24"/>
      <c r="BO290" s="23"/>
      <c r="BP290" s="23"/>
      <c r="BQ290" s="23"/>
      <c r="BR290" s="23"/>
      <c r="BS290" s="24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4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4"/>
      <c r="CS290" s="24"/>
      <c r="CT290" s="24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4"/>
      <c r="DM290" s="23"/>
      <c r="DN290" s="23"/>
      <c r="DO290" s="23"/>
      <c r="DP290" s="23"/>
      <c r="DQ290" s="23"/>
      <c r="DR290" s="24"/>
      <c r="DS290" s="24"/>
      <c r="DT290" s="24"/>
      <c r="DU290" s="23"/>
      <c r="DV290" s="23"/>
      <c r="DW290" s="23"/>
      <c r="DX290" s="23"/>
      <c r="DY290" s="23"/>
      <c r="DZ290" s="23"/>
      <c r="EA290" s="24"/>
    </row>
    <row r="291" spans="1:131">
      <c r="A291" s="24"/>
      <c r="B291" s="24"/>
      <c r="C291" s="24"/>
      <c r="D291" s="24"/>
      <c r="E291" s="24"/>
      <c r="F291" s="24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4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4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4"/>
      <c r="AW291" s="23"/>
      <c r="AX291" s="23"/>
      <c r="AY291" s="23"/>
      <c r="AZ291" s="23"/>
      <c r="BA291" s="23"/>
      <c r="BB291" s="23"/>
      <c r="BC291" s="23"/>
      <c r="BD291" s="24"/>
      <c r="BE291" s="23"/>
      <c r="BF291" s="23"/>
      <c r="BG291" s="23"/>
      <c r="BH291" s="23"/>
      <c r="BI291" s="23"/>
      <c r="BJ291" s="23"/>
      <c r="BK291" s="23"/>
      <c r="BL291" s="23"/>
      <c r="BM291" s="23"/>
      <c r="BN291" s="24"/>
      <c r="BO291" s="23"/>
      <c r="BP291" s="23"/>
      <c r="BQ291" s="23"/>
      <c r="BR291" s="23"/>
      <c r="BS291" s="24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4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4"/>
      <c r="CS291" s="24"/>
      <c r="CT291" s="24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4"/>
      <c r="DM291" s="23"/>
      <c r="DN291" s="23"/>
      <c r="DO291" s="23"/>
      <c r="DP291" s="23"/>
      <c r="DQ291" s="23"/>
      <c r="DR291" s="24"/>
      <c r="DS291" s="24"/>
      <c r="DT291" s="24"/>
      <c r="DU291" s="23"/>
      <c r="DV291" s="23"/>
      <c r="DW291" s="23"/>
      <c r="DX291" s="23"/>
      <c r="DY291" s="23"/>
      <c r="DZ291" s="23"/>
      <c r="EA291" s="24"/>
    </row>
    <row r="292" spans="1:131">
      <c r="A292" s="24"/>
      <c r="B292" s="24"/>
      <c r="C292" s="24"/>
      <c r="D292" s="24"/>
      <c r="E292" s="24"/>
      <c r="F292" s="24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4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4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4"/>
      <c r="AW292" s="23"/>
      <c r="AX292" s="23"/>
      <c r="AY292" s="23"/>
      <c r="AZ292" s="23"/>
      <c r="BA292" s="23"/>
      <c r="BB292" s="23"/>
      <c r="BC292" s="23"/>
      <c r="BD292" s="24"/>
      <c r="BE292" s="23"/>
      <c r="BF292" s="23"/>
      <c r="BG292" s="23"/>
      <c r="BH292" s="23"/>
      <c r="BI292" s="23"/>
      <c r="BJ292" s="23"/>
      <c r="BK292" s="23"/>
      <c r="BL292" s="23"/>
      <c r="BM292" s="23"/>
      <c r="BN292" s="24"/>
      <c r="BO292" s="23"/>
      <c r="BP292" s="23"/>
      <c r="BQ292" s="23"/>
      <c r="BR292" s="23"/>
      <c r="BS292" s="24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4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4"/>
      <c r="CS292" s="24"/>
      <c r="CT292" s="24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4"/>
      <c r="DM292" s="23"/>
      <c r="DN292" s="23"/>
      <c r="DO292" s="23"/>
      <c r="DP292" s="23"/>
      <c r="DQ292" s="23"/>
      <c r="DR292" s="24"/>
      <c r="DS292" s="24"/>
      <c r="DT292" s="24"/>
      <c r="DU292" s="23"/>
      <c r="DV292" s="23"/>
      <c r="DW292" s="23"/>
      <c r="DX292" s="23"/>
      <c r="DY292" s="23"/>
      <c r="DZ292" s="23"/>
      <c r="EA292" s="24"/>
    </row>
    <row r="293" spans="1:131">
      <c r="A293" s="24"/>
      <c r="B293" s="24"/>
      <c r="C293" s="24"/>
      <c r="D293" s="24"/>
      <c r="E293" s="24"/>
      <c r="F293" s="24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4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4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4"/>
      <c r="AW293" s="23"/>
      <c r="AX293" s="23"/>
      <c r="AY293" s="23"/>
      <c r="AZ293" s="23"/>
      <c r="BA293" s="23"/>
      <c r="BB293" s="23"/>
      <c r="BC293" s="23"/>
      <c r="BD293" s="24"/>
      <c r="BE293" s="23"/>
      <c r="BF293" s="23"/>
      <c r="BG293" s="23"/>
      <c r="BH293" s="23"/>
      <c r="BI293" s="23"/>
      <c r="BJ293" s="23"/>
      <c r="BK293" s="23"/>
      <c r="BL293" s="23"/>
      <c r="BM293" s="23"/>
      <c r="BN293" s="24"/>
      <c r="BO293" s="23"/>
      <c r="BP293" s="23"/>
      <c r="BQ293" s="23"/>
      <c r="BR293" s="23"/>
      <c r="BS293" s="24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4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4"/>
      <c r="CS293" s="24"/>
      <c r="CT293" s="24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4"/>
      <c r="DM293" s="23"/>
      <c r="DN293" s="23"/>
      <c r="DO293" s="23"/>
      <c r="DP293" s="23"/>
      <c r="DQ293" s="23"/>
      <c r="DR293" s="24"/>
      <c r="DS293" s="24"/>
      <c r="DT293" s="24"/>
      <c r="DU293" s="23"/>
      <c r="DV293" s="23"/>
      <c r="DW293" s="23"/>
      <c r="DX293" s="23"/>
      <c r="DY293" s="23"/>
      <c r="DZ293" s="23"/>
      <c r="EA293" s="24"/>
    </row>
    <row r="294" spans="1:131">
      <c r="A294" s="24"/>
      <c r="B294" s="24"/>
      <c r="C294" s="24"/>
      <c r="D294" s="24"/>
      <c r="E294" s="24"/>
      <c r="F294" s="24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4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4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4"/>
      <c r="AW294" s="23"/>
      <c r="AX294" s="23"/>
      <c r="AY294" s="23"/>
      <c r="AZ294" s="23"/>
      <c r="BA294" s="23"/>
      <c r="BB294" s="23"/>
      <c r="BC294" s="23"/>
      <c r="BD294" s="24"/>
      <c r="BE294" s="23"/>
      <c r="BF294" s="23"/>
      <c r="BG294" s="23"/>
      <c r="BH294" s="23"/>
      <c r="BI294" s="23"/>
      <c r="BJ294" s="23"/>
      <c r="BK294" s="23"/>
      <c r="BL294" s="23"/>
      <c r="BM294" s="23"/>
      <c r="BN294" s="24"/>
      <c r="BO294" s="23"/>
      <c r="BP294" s="23"/>
      <c r="BQ294" s="23"/>
      <c r="BR294" s="23"/>
      <c r="BS294" s="24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4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4"/>
      <c r="CS294" s="24"/>
      <c r="CT294" s="24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4"/>
      <c r="DM294" s="23"/>
      <c r="DN294" s="23"/>
      <c r="DO294" s="23"/>
      <c r="DP294" s="23"/>
      <c r="DQ294" s="23"/>
      <c r="DR294" s="24"/>
      <c r="DS294" s="24"/>
      <c r="DT294" s="24"/>
      <c r="DU294" s="23"/>
      <c r="DV294" s="23"/>
      <c r="DW294" s="23"/>
      <c r="DX294" s="23"/>
      <c r="DY294" s="23"/>
      <c r="DZ294" s="23"/>
      <c r="EA294" s="24"/>
    </row>
    <row r="295" spans="1:131">
      <c r="A295" s="24"/>
      <c r="B295" s="24"/>
      <c r="C295" s="24"/>
      <c r="D295" s="24"/>
      <c r="E295" s="24"/>
      <c r="F295" s="24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4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4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4"/>
      <c r="AW295" s="23"/>
      <c r="AX295" s="23"/>
      <c r="AY295" s="23"/>
      <c r="AZ295" s="23"/>
      <c r="BA295" s="23"/>
      <c r="BB295" s="23"/>
      <c r="BC295" s="23"/>
      <c r="BD295" s="24"/>
      <c r="BE295" s="23"/>
      <c r="BF295" s="23"/>
      <c r="BG295" s="23"/>
      <c r="BH295" s="23"/>
      <c r="BI295" s="23"/>
      <c r="BJ295" s="23"/>
      <c r="BK295" s="23"/>
      <c r="BL295" s="23"/>
      <c r="BM295" s="23"/>
      <c r="BN295" s="24"/>
      <c r="BO295" s="23"/>
      <c r="BP295" s="23"/>
      <c r="BQ295" s="23"/>
      <c r="BR295" s="23"/>
      <c r="BS295" s="24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4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4"/>
      <c r="CS295" s="24"/>
      <c r="CT295" s="24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4"/>
      <c r="DM295" s="23"/>
      <c r="DN295" s="23"/>
      <c r="DO295" s="23"/>
      <c r="DP295" s="23"/>
      <c r="DQ295" s="23"/>
      <c r="DR295" s="24"/>
      <c r="DS295" s="24"/>
      <c r="DT295" s="24"/>
      <c r="DU295" s="23"/>
      <c r="DV295" s="23"/>
      <c r="DW295" s="23"/>
      <c r="DX295" s="23"/>
      <c r="DY295" s="23"/>
      <c r="DZ295" s="23"/>
      <c r="EA295" s="24"/>
    </row>
    <row r="296" spans="1:131">
      <c r="A296" s="24"/>
      <c r="B296" s="24"/>
      <c r="C296" s="24"/>
      <c r="D296" s="24"/>
      <c r="E296" s="24"/>
      <c r="F296" s="24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4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4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4"/>
      <c r="AW296" s="23"/>
      <c r="AX296" s="23"/>
      <c r="AY296" s="23"/>
      <c r="AZ296" s="23"/>
      <c r="BA296" s="23"/>
      <c r="BB296" s="23"/>
      <c r="BC296" s="23"/>
      <c r="BD296" s="24"/>
      <c r="BE296" s="23"/>
      <c r="BF296" s="23"/>
      <c r="BG296" s="23"/>
      <c r="BH296" s="23"/>
      <c r="BI296" s="23"/>
      <c r="BJ296" s="23"/>
      <c r="BK296" s="23"/>
      <c r="BL296" s="23"/>
      <c r="BM296" s="23"/>
      <c r="BN296" s="24"/>
      <c r="BO296" s="23"/>
      <c r="BP296" s="23"/>
      <c r="BQ296" s="23"/>
      <c r="BR296" s="23"/>
      <c r="BS296" s="24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4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4"/>
      <c r="CS296" s="24"/>
      <c r="CT296" s="24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4"/>
      <c r="DM296" s="23"/>
      <c r="DN296" s="23"/>
      <c r="DO296" s="23"/>
      <c r="DP296" s="23"/>
      <c r="DQ296" s="23"/>
      <c r="DR296" s="24"/>
      <c r="DS296" s="24"/>
      <c r="DT296" s="24"/>
      <c r="DU296" s="23"/>
      <c r="DV296" s="23"/>
      <c r="DW296" s="23"/>
      <c r="DX296" s="23"/>
      <c r="DY296" s="23"/>
      <c r="DZ296" s="23"/>
      <c r="EA296" s="24"/>
    </row>
    <row r="297" spans="1:131">
      <c r="A297" s="24"/>
      <c r="B297" s="24"/>
      <c r="C297" s="24"/>
      <c r="D297" s="24"/>
      <c r="E297" s="24"/>
      <c r="F297" s="24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4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4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4"/>
      <c r="AW297" s="23"/>
      <c r="AX297" s="23"/>
      <c r="AY297" s="23"/>
      <c r="AZ297" s="23"/>
      <c r="BA297" s="23"/>
      <c r="BB297" s="23"/>
      <c r="BC297" s="23"/>
      <c r="BD297" s="24"/>
      <c r="BE297" s="23"/>
      <c r="BF297" s="23"/>
      <c r="BG297" s="23"/>
      <c r="BH297" s="23"/>
      <c r="BI297" s="23"/>
      <c r="BJ297" s="23"/>
      <c r="BK297" s="23"/>
      <c r="BL297" s="23"/>
      <c r="BM297" s="23"/>
      <c r="BN297" s="24"/>
      <c r="BO297" s="23"/>
      <c r="BP297" s="23"/>
      <c r="BQ297" s="23"/>
      <c r="BR297" s="23"/>
      <c r="BS297" s="24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4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4"/>
      <c r="CS297" s="24"/>
      <c r="CT297" s="24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4"/>
      <c r="DM297" s="23"/>
      <c r="DN297" s="23"/>
      <c r="DO297" s="23"/>
      <c r="DP297" s="23"/>
      <c r="DQ297" s="23"/>
      <c r="DR297" s="24"/>
      <c r="DS297" s="24"/>
      <c r="DT297" s="24"/>
      <c r="DU297" s="23"/>
      <c r="DV297" s="23"/>
      <c r="DW297" s="23"/>
      <c r="DX297" s="23"/>
      <c r="DY297" s="23"/>
      <c r="DZ297" s="23"/>
      <c r="EA297" s="24"/>
    </row>
    <row r="298" spans="1:131">
      <c r="A298" s="24"/>
      <c r="B298" s="24"/>
      <c r="C298" s="24"/>
      <c r="D298" s="24"/>
      <c r="E298" s="24"/>
      <c r="F298" s="24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4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4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4"/>
      <c r="AW298" s="23"/>
      <c r="AX298" s="23"/>
      <c r="AY298" s="23"/>
      <c r="AZ298" s="23"/>
      <c r="BA298" s="23"/>
      <c r="BB298" s="23"/>
      <c r="BC298" s="23"/>
      <c r="BD298" s="24"/>
      <c r="BE298" s="23"/>
      <c r="BF298" s="23"/>
      <c r="BG298" s="23"/>
      <c r="BH298" s="23"/>
      <c r="BI298" s="23"/>
      <c r="BJ298" s="23"/>
      <c r="BK298" s="23"/>
      <c r="BL298" s="23"/>
      <c r="BM298" s="23"/>
      <c r="BN298" s="24"/>
      <c r="BO298" s="23"/>
      <c r="BP298" s="23"/>
      <c r="BQ298" s="23"/>
      <c r="BR298" s="23"/>
      <c r="BS298" s="24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4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4"/>
      <c r="CS298" s="24"/>
      <c r="CT298" s="24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4"/>
      <c r="DM298" s="23"/>
      <c r="DN298" s="23"/>
      <c r="DO298" s="23"/>
      <c r="DP298" s="23"/>
      <c r="DQ298" s="23"/>
      <c r="DR298" s="24"/>
      <c r="DS298" s="24"/>
      <c r="DT298" s="24"/>
      <c r="DU298" s="23"/>
      <c r="DV298" s="23"/>
      <c r="DW298" s="23"/>
      <c r="DX298" s="23"/>
      <c r="DY298" s="23"/>
      <c r="DZ298" s="23"/>
      <c r="EA298" s="24"/>
    </row>
    <row r="299" spans="1:131">
      <c r="A299" s="24"/>
      <c r="B299" s="24"/>
      <c r="C299" s="24"/>
      <c r="D299" s="24"/>
      <c r="E299" s="24"/>
      <c r="F299" s="24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4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4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4"/>
      <c r="AW299" s="23"/>
      <c r="AX299" s="23"/>
      <c r="AY299" s="23"/>
      <c r="AZ299" s="23"/>
      <c r="BA299" s="23"/>
      <c r="BB299" s="23"/>
      <c r="BC299" s="23"/>
      <c r="BD299" s="24"/>
      <c r="BE299" s="23"/>
      <c r="BF299" s="23"/>
      <c r="BG299" s="23"/>
      <c r="BH299" s="23"/>
      <c r="BI299" s="23"/>
      <c r="BJ299" s="23"/>
      <c r="BK299" s="23"/>
      <c r="BL299" s="23"/>
      <c r="BM299" s="23"/>
      <c r="BN299" s="24"/>
      <c r="BO299" s="23"/>
      <c r="BP299" s="23"/>
      <c r="BQ299" s="23"/>
      <c r="BR299" s="23"/>
      <c r="BS299" s="24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4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4"/>
      <c r="CS299" s="24"/>
      <c r="CT299" s="24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4"/>
      <c r="DM299" s="23"/>
      <c r="DN299" s="23"/>
      <c r="DO299" s="23"/>
      <c r="DP299" s="23"/>
      <c r="DQ299" s="23"/>
      <c r="DR299" s="24"/>
      <c r="DS299" s="24"/>
      <c r="DT299" s="24"/>
      <c r="DU299" s="23"/>
      <c r="DV299" s="23"/>
      <c r="DW299" s="23"/>
      <c r="DX299" s="23"/>
      <c r="DY299" s="23"/>
      <c r="DZ299" s="23"/>
      <c r="EA299" s="24"/>
    </row>
    <row r="300" spans="1:131">
      <c r="A300" s="24"/>
      <c r="B300" s="24"/>
      <c r="C300" s="24"/>
      <c r="D300" s="24"/>
      <c r="E300" s="24"/>
      <c r="F300" s="24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4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4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4"/>
      <c r="AW300" s="23"/>
      <c r="AX300" s="23"/>
      <c r="AY300" s="23"/>
      <c r="AZ300" s="23"/>
      <c r="BA300" s="23"/>
      <c r="BB300" s="23"/>
      <c r="BC300" s="23"/>
      <c r="BD300" s="24"/>
      <c r="BE300" s="23"/>
      <c r="BF300" s="23"/>
      <c r="BG300" s="23"/>
      <c r="BH300" s="23"/>
      <c r="BI300" s="23"/>
      <c r="BJ300" s="23"/>
      <c r="BK300" s="23"/>
      <c r="BL300" s="23"/>
      <c r="BM300" s="23"/>
      <c r="BN300" s="24"/>
      <c r="BO300" s="23"/>
      <c r="BP300" s="23"/>
      <c r="BQ300" s="23"/>
      <c r="BR300" s="23"/>
      <c r="BS300" s="24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4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4"/>
      <c r="CS300" s="24"/>
      <c r="CT300" s="24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4"/>
      <c r="DM300" s="23"/>
      <c r="DN300" s="23"/>
      <c r="DO300" s="23"/>
      <c r="DP300" s="23"/>
      <c r="DQ300" s="23"/>
      <c r="DR300" s="24"/>
      <c r="DS300" s="24"/>
      <c r="DT300" s="24"/>
      <c r="DU300" s="23"/>
      <c r="DV300" s="23"/>
      <c r="DW300" s="23"/>
      <c r="DX300" s="23"/>
      <c r="DY300" s="23"/>
      <c r="DZ300" s="23"/>
      <c r="EA300" s="24"/>
    </row>
    <row r="301" spans="1:131">
      <c r="A301" s="24"/>
      <c r="B301" s="24"/>
      <c r="C301" s="24"/>
      <c r="D301" s="24"/>
      <c r="E301" s="24"/>
      <c r="F301" s="24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4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4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4"/>
      <c r="AW301" s="23"/>
      <c r="AX301" s="23"/>
      <c r="AY301" s="23"/>
      <c r="AZ301" s="23"/>
      <c r="BA301" s="23"/>
      <c r="BB301" s="23"/>
      <c r="BC301" s="23"/>
      <c r="BD301" s="24"/>
      <c r="BE301" s="23"/>
      <c r="BF301" s="23"/>
      <c r="BG301" s="23"/>
      <c r="BH301" s="23"/>
      <c r="BI301" s="23"/>
      <c r="BJ301" s="23"/>
      <c r="BK301" s="23"/>
      <c r="BL301" s="23"/>
      <c r="BM301" s="23"/>
      <c r="BN301" s="24"/>
      <c r="BO301" s="23"/>
      <c r="BP301" s="23"/>
      <c r="BQ301" s="23"/>
      <c r="BR301" s="23"/>
      <c r="BS301" s="24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4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4"/>
      <c r="CS301" s="24"/>
      <c r="CT301" s="24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4"/>
      <c r="DM301" s="23"/>
      <c r="DN301" s="23"/>
      <c r="DO301" s="23"/>
      <c r="DP301" s="23"/>
      <c r="DQ301" s="23"/>
      <c r="DR301" s="24"/>
      <c r="DS301" s="24"/>
      <c r="DT301" s="24"/>
      <c r="DU301" s="23"/>
      <c r="DV301" s="23"/>
      <c r="DW301" s="23"/>
      <c r="DX301" s="23"/>
      <c r="DY301" s="23"/>
      <c r="DZ301" s="23"/>
      <c r="EA301" s="24"/>
    </row>
    <row r="302" spans="1:131">
      <c r="A302" s="24"/>
      <c r="B302" s="24"/>
      <c r="C302" s="24"/>
      <c r="D302" s="24"/>
      <c r="E302" s="24"/>
      <c r="F302" s="24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4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4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4"/>
      <c r="AW302" s="23"/>
      <c r="AX302" s="23"/>
      <c r="AY302" s="23"/>
      <c r="AZ302" s="23"/>
      <c r="BA302" s="23"/>
      <c r="BB302" s="23"/>
      <c r="BC302" s="23"/>
      <c r="BD302" s="24"/>
      <c r="BE302" s="23"/>
      <c r="BF302" s="23"/>
      <c r="BG302" s="23"/>
      <c r="BH302" s="23"/>
      <c r="BI302" s="23"/>
      <c r="BJ302" s="23"/>
      <c r="BK302" s="23"/>
      <c r="BL302" s="23"/>
      <c r="BM302" s="23"/>
      <c r="BN302" s="24"/>
      <c r="BO302" s="23"/>
      <c r="BP302" s="23"/>
      <c r="BQ302" s="23"/>
      <c r="BR302" s="23"/>
      <c r="BS302" s="24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4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4"/>
      <c r="CS302" s="24"/>
      <c r="CT302" s="24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4"/>
      <c r="DM302" s="23"/>
      <c r="DN302" s="23"/>
      <c r="DO302" s="23"/>
      <c r="DP302" s="23"/>
      <c r="DQ302" s="23"/>
      <c r="DR302" s="24"/>
      <c r="DS302" s="24"/>
      <c r="DT302" s="24"/>
      <c r="DU302" s="23"/>
      <c r="DV302" s="23"/>
      <c r="DW302" s="23"/>
      <c r="DX302" s="23"/>
      <c r="DY302" s="23"/>
      <c r="DZ302" s="23"/>
      <c r="EA302" s="24"/>
    </row>
    <row r="303" spans="1:131">
      <c r="A303" s="24"/>
      <c r="B303" s="24"/>
      <c r="C303" s="24"/>
      <c r="D303" s="24"/>
      <c r="E303" s="24"/>
      <c r="F303" s="24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4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4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4"/>
      <c r="AW303" s="23"/>
      <c r="AX303" s="23"/>
      <c r="AY303" s="23"/>
      <c r="AZ303" s="23"/>
      <c r="BA303" s="23"/>
      <c r="BB303" s="23"/>
      <c r="BC303" s="23"/>
      <c r="BD303" s="24"/>
      <c r="BE303" s="23"/>
      <c r="BF303" s="23"/>
      <c r="BG303" s="23"/>
      <c r="BH303" s="23"/>
      <c r="BI303" s="23"/>
      <c r="BJ303" s="23"/>
      <c r="BK303" s="23"/>
      <c r="BL303" s="23"/>
      <c r="BM303" s="23"/>
      <c r="BN303" s="24"/>
      <c r="BO303" s="23"/>
      <c r="BP303" s="23"/>
      <c r="BQ303" s="23"/>
      <c r="BR303" s="23"/>
      <c r="BS303" s="24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4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4"/>
      <c r="CS303" s="24"/>
      <c r="CT303" s="24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4"/>
      <c r="DM303" s="23"/>
      <c r="DN303" s="23"/>
      <c r="DO303" s="23"/>
      <c r="DP303" s="23"/>
      <c r="DQ303" s="23"/>
      <c r="DR303" s="24"/>
      <c r="DS303" s="24"/>
      <c r="DT303" s="24"/>
      <c r="DU303" s="23"/>
      <c r="DV303" s="23"/>
      <c r="DW303" s="23"/>
      <c r="DX303" s="23"/>
      <c r="DY303" s="23"/>
      <c r="DZ303" s="23"/>
      <c r="EA303" s="24"/>
    </row>
  </sheetData>
  <mergeCells count="16">
    <mergeCell ref="A1:F1"/>
    <mergeCell ref="J1:U1"/>
    <mergeCell ref="V1:X1"/>
    <mergeCell ref="Y1:AF1"/>
    <mergeCell ref="AI1:AN1"/>
    <mergeCell ref="AO1:AR1"/>
    <mergeCell ref="AU1:AV1"/>
    <mergeCell ref="BC1:BD1"/>
    <mergeCell ref="BE1:BH1"/>
    <mergeCell ref="BI1:BN1"/>
    <mergeCell ref="BV1:CA1"/>
    <mergeCell ref="CF1:CR1"/>
    <mergeCell ref="CV1:DD1"/>
    <mergeCell ref="DE1:DL1"/>
    <mergeCell ref="DR1:DT1"/>
    <mergeCell ref="DU1:EA1"/>
  </mergeCells>
  <dataValidations count="40">
    <dataValidation type="list" allowBlank="1" showErrorMessage="1" errorTitle="قيمة غير صحيحة" error="اختر من القائمة المنسدلة." sqref="F3:F303">
      <formula1>القوائم!$A$2:$A$3</formula1>
    </dataValidation>
    <dataValidation type="list" allowBlank="1" showErrorMessage="1" errorTitle="قيمة غير صحيحة" error="اختر من القائمة المنسدلة." sqref="G3:G303">
      <formula1>القوائم!$B$2:$B$5</formula1>
    </dataValidation>
    <dataValidation type="list" allowBlank="1" showErrorMessage="1" errorTitle="قيمة غير صحيحة" error="اختر من القائمة المنسدلة." sqref="H3:H303">
      <formula1>القوائم!$C$2:$C$5</formula1>
    </dataValidation>
    <dataValidation type="list" allowBlank="1" showErrorMessage="1" errorTitle="قيمة غير صحيحة" error="اختر من القائمة المنسدلة." sqref="I3:I303">
      <formula1>القوائم!$D$2:$D$5</formula1>
    </dataValidation>
    <dataValidation type="list" allowBlank="1" showErrorMessage="1" errorTitle="قيمة غير صحيحة" error="اختر من القائمة المنسدلة." sqref="AG3:AG303">
      <formula1>القوائم!$E$2:$E$6</formula1>
    </dataValidation>
    <dataValidation type="list" allowBlank="1" showErrorMessage="1" errorTitle="قيمة غير صحيحة" error="اختر من القائمة المنسدلة." sqref="AH3:AH303">
      <formula1>القوائم!$F$2:$F$5</formula1>
    </dataValidation>
    <dataValidation type="list" allowBlank="1" showErrorMessage="1" errorTitle="قيمة غير صحيحة" error="اختر من القائمة المنسدلة." sqref="AS3:AS303">
      <formula1>القوائم!$G$2:$G$5</formula1>
    </dataValidation>
    <dataValidation type="list" allowBlank="1" showErrorMessage="1" errorTitle="قيمة غير صحيحة" error="اختر من القائمة المنسدلة." sqref="AT3:AT303">
      <formula1>القوائم!$H$2:$H$5</formula1>
    </dataValidation>
    <dataValidation type="list" allowBlank="1" showErrorMessage="1" errorTitle="قيمة غير صحيحة" error="اختر من القائمة المنسدلة." sqref="AU3:AU303">
      <formula1>القوائم!$I$2:$I$5</formula1>
    </dataValidation>
    <dataValidation type="list" allowBlank="1" showErrorMessage="1" errorTitle="قيمة غير صحيحة" error="اختر من القائمة المنسدلة." sqref="AW3:AW303">
      <formula1>القوائم!$J$2:$J$5</formula1>
    </dataValidation>
    <dataValidation type="list" allowBlank="1" showErrorMessage="1" errorTitle="قيمة غير صحيحة" error="اختر من القائمة المنسدلة." sqref="AX3:AX303">
      <formula1>القوائم!$K$2:$K$5</formula1>
    </dataValidation>
    <dataValidation type="list" allowBlank="1" showErrorMessage="1" errorTitle="قيمة غير صحيحة" error="اختر من القائمة المنسدلة." sqref="AY3:AY303">
      <formula1>القوائم!$L$2:$L$5</formula1>
    </dataValidation>
    <dataValidation type="list" allowBlank="1" showErrorMessage="1" errorTitle="قيمة غير صحيحة" error="اختر من القائمة المنسدلة." sqref="AZ3:AZ303">
      <formula1>القوائم!$M$2:$M$5</formula1>
    </dataValidation>
    <dataValidation type="list" allowBlank="1" showErrorMessage="1" errorTitle="قيمة غير صحيحة" error="اختر من القائمة المنسدلة." sqref="BA3:BA303">
      <formula1>القوائم!$N$2:$N$5</formula1>
    </dataValidation>
    <dataValidation type="list" allowBlank="1" showErrorMessage="1" errorTitle="قيمة غير صحيحة" error="اختر من القائمة المنسدلة." sqref="BB3:BB303">
      <formula1>القوائم!$O$2:$O$5</formula1>
    </dataValidation>
    <dataValidation type="list" allowBlank="1" showErrorMessage="1" errorTitle="قيمة غير صحيحة" error="اختر من القائمة المنسدلة." sqref="BC3:BC303">
      <formula1>القوائم!$P$2:$P$4</formula1>
    </dataValidation>
    <dataValidation type="list" allowBlank="1" showErrorMessage="1" errorTitle="قيمة غير صحيحة" error="اختر من القائمة المنسدلة." sqref="BO3:BO303">
      <formula1>القوائم!$Q$2:$Q$4</formula1>
    </dataValidation>
    <dataValidation type="list" allowBlank="1" showErrorMessage="1" errorTitle="قيمة غير صحيحة" error="اختر من القائمة المنسدلة." sqref="BP3:BP303">
      <formula1>القوائم!$R$2:$R$4</formula1>
    </dataValidation>
    <dataValidation type="list" allowBlank="1" showErrorMessage="1" errorTitle="قيمة غير صحيحة" error="اختر من القائمة المنسدلة." sqref="BQ3:BQ303">
      <formula1>القوائم!$S$2:$S$5</formula1>
    </dataValidation>
    <dataValidation type="list" allowBlank="1" showErrorMessage="1" errorTitle="قيمة غير صحيحة" error="اختر من القائمة المنسدلة." sqref="BR3:BR303">
      <formula1>القوائم!$T$2:$T$4</formula1>
    </dataValidation>
    <dataValidation type="list" allowBlank="1" showErrorMessage="1" errorTitle="قيمة غير صحيحة" error="اختر من القائمة المنسدلة." sqref="BT3:BT303">
      <formula1>القوائم!$U$2:$U$4</formula1>
    </dataValidation>
    <dataValidation type="list" allowBlank="1" showErrorMessage="1" errorTitle="قيمة غير صحيحة" error="اختر من القائمة المنسدلة." sqref="BU3:BU303">
      <formula1>القوائم!$V$2:$V$4</formula1>
    </dataValidation>
    <dataValidation type="list" allowBlank="1" showErrorMessage="1" errorTitle="قيمة غير صحيحة" error="اختر من القائمة المنسدلة." sqref="CB3:CB303">
      <formula1>القوائم!$W$2:$W$4</formula1>
    </dataValidation>
    <dataValidation type="whole" operator="between" allowBlank="1" showErrorMessage="1" errorTitle="قيمة غير صحيحة" error="رقم من 1 إلى 5." sqref="CC3:CC303 CU3:CU303">
      <formula1>1</formula1>
      <formula2>5</formula2>
    </dataValidation>
    <dataValidation type="list" allowBlank="1" showErrorMessage="1" errorTitle="قيمة غير صحيحة" error="اختر من القائمة المنسدلة." sqref="CD3:CD303">
      <formula1>القوائم!$X$2:$X$4</formula1>
    </dataValidation>
    <dataValidation type="list" allowBlank="1" showErrorMessage="1" errorTitle="قيمة غير صحيحة" error="اختر من القائمة المنسدلة." sqref="DM3:DM303">
      <formula1>القوائم!$Z$2:$Z$5</formula1>
    </dataValidation>
    <dataValidation type="list" allowBlank="1" showErrorMessage="1" errorTitle="قيمة غير صحيحة" error="اختر من القائمة المنسدلة." sqref="DN3:DN303">
      <formula1>القوائم!$AA$2:$AA$6</formula1>
    </dataValidation>
    <dataValidation type="whole" operator="greaterThanOrEqual" allowBlank="1" showErrorMessage="1" errorTitle="قيمة غير صحيحة" error="مبلغ بالجنيه بدون فواصل أو كلمات." sqref="DO3:DO303">
      <formula1>0</formula1>
    </dataValidation>
    <dataValidation type="list" allowBlank="1" showErrorMessage="1" errorTitle="قيمة غير صحيحة" error="اختر من القائمة المنسدلة." sqref="DP3:DP303">
      <formula1>القوائم!$AB$2:$AB$4</formula1>
    </dataValidation>
    <dataValidation type="list" allowBlank="1" showErrorMessage="1" errorTitle="قيمة غير صحيحة" error="اختر من القائمة المنسدلة." sqref="DQ3:DQ303">
      <formula1>القوائم!$AC$2:$AC$3</formula1>
    </dataValidation>
    <dataValidation type="list" allowBlank="1" showErrorMessage="1" errorTitle="قيمة غير صحيحة" error="اختر من القائمة المنسدلة." sqref="DU3:DU303">
      <formula1>القوائم!$AD$2:$AD$4</formula1>
    </dataValidation>
    <dataValidation type="list" allowBlank="1" showErrorMessage="1" errorTitle="قيمة غير صحيحة" error="اختر من القائمة المنسدلة." sqref="DV3:DV303">
      <formula1>القوائم!$AE$2:$AE$4</formula1>
    </dataValidation>
    <dataValidation type="list" allowBlank="1" showErrorMessage="1" errorTitle="قيمة غير صحيحة" error="اختر من القائمة المنسدلة." sqref="DW3:DW303">
      <formula1>القوائم!$AF$2:$AF$4</formula1>
    </dataValidation>
    <dataValidation type="list" allowBlank="1" showErrorMessage="1" errorTitle="قيمة غير صحيحة" error="اختر من القائمة المنسدلة." sqref="DX3:DX303">
      <formula1>القوائم!$AG$2:$AG$3</formula1>
    </dataValidation>
    <dataValidation type="list" allowBlank="1" showErrorMessage="1" errorTitle="قيمة غير صحيحة" error="اختر من القائمة المنسدلة." sqref="DY3:DY303">
      <formula1>القوائم!$AH$2:$AH$4</formula1>
    </dataValidation>
    <dataValidation type="list" allowBlank="1" showErrorMessage="1" errorTitle="قيمة غير صحيحة" error="اختر من القائمة المنسدلة." sqref="DZ3:DZ303">
      <formula1>القوائم!$AI$2:$AI$3</formula1>
    </dataValidation>
    <dataValidation type="whole" operator="equal" allowBlank="1" showErrorMessage="1" errorTitle="قيمة غير صحيحة" error="اكتب 1 إذا اختار صاحب المحل هذا الخيار، أو اترك الخانة فارغة." sqref="J3:T303 V3:AE303 AI3:AR303 BI3:BM303 BV3:CA303 DE3:DK303">
      <formula1>1</formula1>
    </dataValidation>
    <dataValidation type="decimal" operator="between" allowBlank="1" showErrorMessage="1" errorTitle="قيمة غير صحيحة" error="نسبة من 0 إلى 100." sqref="BE3:BH303">
      <formula1>0</formula1>
      <formula2>100</formula2>
    </dataValidation>
    <dataValidation type="whole" operator="between" allowBlank="1" showErrorMessage="1" errorTitle="قيمة غير صحيحة" error="اكتب 1 أو 2 أو 3 لأهم ثلاث مشاكل فقط." sqref="CF3:CQ303">
      <formula1>1</formula1>
      <formula2>3</formula2>
    </dataValidation>
    <dataValidation type="list" allowBlank="1" showErrorMessage="1" errorTitle="قيمة غير صحيحة" error="اختر من القائمة المنسدلة." sqref="CV3:DD303">
      <formula1>القوائم!$Y$2:$Y$4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2"/>
  <sheetViews>
    <sheetView showGridLines="0" rightToLeft="1" workbookViewId="0">
      <pane ySplit="2" topLeftCell="A3" activePane="bottomLeft" state="frozen"/>
      <selection/>
      <selection pane="bottomLeft" activeCell="A1" sqref="A1:F1"/>
    </sheetView>
  </sheetViews>
  <sheetFormatPr defaultColWidth="9" defaultRowHeight="14.4" outlineLevelCol="5"/>
  <cols>
    <col min="1" max="1" width="44" customWidth="1"/>
    <col min="2" max="6" width="15" customWidth="1"/>
  </cols>
  <sheetData>
    <row r="1" ht="21" spans="1:6">
      <c r="A1" s="3" t="s">
        <v>202</v>
      </c>
    </row>
    <row r="2" ht="26.4" spans="1:6">
      <c r="A2" s="4" t="s">
        <v>203</v>
      </c>
    </row>
    <row r="3" ht="24" customHeight="1" spans="1:6">
      <c r="A3" s="5" t="s">
        <v>204</v>
      </c>
    </row>
    <row r="4" spans="1:6">
      <c r="A4" s="6" t="s">
        <v>205</v>
      </c>
      <c r="B4" s="7">
        <f>COUNTA(الإجابات!$A$4:$A$303)</f>
        <v>0</v>
      </c>
    </row>
    <row r="5" spans="1:6">
      <c r="A5" s="6" t="s">
        <v>206</v>
      </c>
      <c r="B5" s="8" t="str">
        <f>IFERROR(AVERAGE(الإجابات!$E$4:$E$303),"—")</f>
        <v>—</v>
      </c>
    </row>
    <row r="6" ht="24" customHeight="1" spans="1:6">
      <c r="A6" s="5" t="s">
        <v>207</v>
      </c>
    </row>
    <row r="7" spans="1:6">
      <c r="A7" s="4" t="s">
        <v>208</v>
      </c>
    </row>
    <row r="8" spans="1:6">
      <c r="A8" s="9" t="s">
        <v>209</v>
      </c>
      <c r="B8" s="9" t="s">
        <v>210</v>
      </c>
      <c r="C8" s="9" t="s">
        <v>211</v>
      </c>
      <c r="D8" s="9" t="s">
        <v>212</v>
      </c>
      <c r="E8" s="9" t="s">
        <v>213</v>
      </c>
      <c r="F8" s="9"/>
    </row>
    <row r="9" spans="1:6">
      <c r="A9" s="6" t="s">
        <v>123</v>
      </c>
      <c r="B9" s="8">
        <f>COUNTIF(الإجابات!$CF$4:$CF$303,1)*3+COUNTIF(الإجابات!$CF$4:$CF$303,2)*2+COUNTIF(الإجابات!$CF$4:$CF$303,3)</f>
        <v>0</v>
      </c>
      <c r="C9" s="8">
        <f>COUNT(الإجابات!$CF$4:$CF$303)</f>
        <v>0</v>
      </c>
      <c r="D9" s="10">
        <f t="shared" ref="D9:D20" si="0">IFERROR(C9/$B$4,0)</f>
        <v>0</v>
      </c>
      <c r="E9" s="7">
        <f t="shared" ref="E9:E20" si="1">RANK(F9,$F$9:$F$20)</f>
        <v>1</v>
      </c>
      <c r="F9" s="11">
        <f>B9+C9/1000+(12-0)/100000</f>
        <v>0.00012</v>
      </c>
    </row>
    <row r="10" spans="1:6">
      <c r="A10" s="6" t="s">
        <v>124</v>
      </c>
      <c r="B10" s="8">
        <f>COUNTIF(الإجابات!$CG$4:$CG$303,1)*3+COUNTIF(الإجابات!$CG$4:$CG$303,2)*2+COUNTIF(الإجابات!$CG$4:$CG$303,3)</f>
        <v>0</v>
      </c>
      <c r="C10" s="8">
        <f>COUNT(الإجابات!$CG$4:$CG$303)</f>
        <v>0</v>
      </c>
      <c r="D10" s="10">
        <f t="shared" si="0"/>
        <v>0</v>
      </c>
      <c r="E10" s="7">
        <f t="shared" si="1"/>
        <v>2</v>
      </c>
      <c r="F10" s="11">
        <f>B10+C10/1000+(12-1)/100000</f>
        <v>0.00011</v>
      </c>
    </row>
    <row r="11" spans="1:6">
      <c r="A11" s="6" t="s">
        <v>125</v>
      </c>
      <c r="B11" s="8">
        <f>COUNTIF(الإجابات!$CH$4:$CH$303,1)*3+COUNTIF(الإجابات!$CH$4:$CH$303,2)*2+COUNTIF(الإجابات!$CH$4:$CH$303,3)</f>
        <v>0</v>
      </c>
      <c r="C11" s="8">
        <f>COUNT(الإجابات!$CH$4:$CH$303)</f>
        <v>0</v>
      </c>
      <c r="D11" s="10">
        <f t="shared" si="0"/>
        <v>0</v>
      </c>
      <c r="E11" s="7">
        <f t="shared" si="1"/>
        <v>3</v>
      </c>
      <c r="F11" s="11">
        <f>B11+C11/1000+(12-2)/100000</f>
        <v>0.0001</v>
      </c>
    </row>
    <row r="12" spans="1:6">
      <c r="A12" s="6" t="s">
        <v>126</v>
      </c>
      <c r="B12" s="8">
        <f>COUNTIF(الإجابات!$CI$4:$CI$303,1)*3+COUNTIF(الإجابات!$CI$4:$CI$303,2)*2+COUNTIF(الإجابات!$CI$4:$CI$303,3)</f>
        <v>0</v>
      </c>
      <c r="C12" s="8">
        <f>COUNT(الإجابات!$CI$4:$CI$303)</f>
        <v>0</v>
      </c>
      <c r="D12" s="10">
        <f t="shared" si="0"/>
        <v>0</v>
      </c>
      <c r="E12" s="7">
        <f t="shared" si="1"/>
        <v>4</v>
      </c>
      <c r="F12" s="11">
        <f>B12+C12/1000+(12-3)/100000</f>
        <v>9e-5</v>
      </c>
    </row>
    <row r="13" spans="1:6">
      <c r="A13" s="6" t="s">
        <v>127</v>
      </c>
      <c r="B13" s="8">
        <f>COUNTIF(الإجابات!$CJ$4:$CJ$303,1)*3+COUNTIF(الإجابات!$CJ$4:$CJ$303,2)*2+COUNTIF(الإجابات!$CJ$4:$CJ$303,3)</f>
        <v>0</v>
      </c>
      <c r="C13" s="8">
        <f>COUNT(الإجابات!$CJ$4:$CJ$303)</f>
        <v>0</v>
      </c>
      <c r="D13" s="10">
        <f t="shared" si="0"/>
        <v>0</v>
      </c>
      <c r="E13" s="7">
        <f t="shared" si="1"/>
        <v>5</v>
      </c>
      <c r="F13" s="11">
        <f>B13+C13/1000+(12-4)/100000</f>
        <v>8e-5</v>
      </c>
    </row>
    <row r="14" spans="1:6">
      <c r="A14" s="6" t="s">
        <v>128</v>
      </c>
      <c r="B14" s="8">
        <f>COUNTIF(الإجابات!$CK$4:$CK$303,1)*3+COUNTIF(الإجابات!$CK$4:$CK$303,2)*2+COUNTIF(الإجابات!$CK$4:$CK$303,3)</f>
        <v>0</v>
      </c>
      <c r="C14" s="8">
        <f>COUNT(الإجابات!$CK$4:$CK$303)</f>
        <v>0</v>
      </c>
      <c r="D14" s="10">
        <f t="shared" si="0"/>
        <v>0</v>
      </c>
      <c r="E14" s="7">
        <f t="shared" si="1"/>
        <v>6</v>
      </c>
      <c r="F14" s="11">
        <f>B14+C14/1000+(12-5)/100000</f>
        <v>7e-5</v>
      </c>
    </row>
    <row r="15" spans="1:6">
      <c r="A15" s="6" t="s">
        <v>129</v>
      </c>
      <c r="B15" s="8">
        <f>COUNTIF(الإجابات!$CL$4:$CL$303,1)*3+COUNTIF(الإجابات!$CL$4:$CL$303,2)*2+COUNTIF(الإجابات!$CL$4:$CL$303,3)</f>
        <v>0</v>
      </c>
      <c r="C15" s="8">
        <f>COUNT(الإجابات!$CL$4:$CL$303)</f>
        <v>0</v>
      </c>
      <c r="D15" s="10">
        <f t="shared" si="0"/>
        <v>0</v>
      </c>
      <c r="E15" s="7">
        <f t="shared" si="1"/>
        <v>7</v>
      </c>
      <c r="F15" s="11">
        <f>B15+C15/1000+(12-6)/100000</f>
        <v>6e-5</v>
      </c>
    </row>
    <row r="16" spans="1:6">
      <c r="A16" s="6" t="s">
        <v>130</v>
      </c>
      <c r="B16" s="8">
        <f>COUNTIF(الإجابات!$CM$4:$CM$303,1)*3+COUNTIF(الإجابات!$CM$4:$CM$303,2)*2+COUNTIF(الإجابات!$CM$4:$CM$303,3)</f>
        <v>0</v>
      </c>
      <c r="C16" s="8">
        <f>COUNT(الإجابات!$CM$4:$CM$303)</f>
        <v>0</v>
      </c>
      <c r="D16" s="10">
        <f t="shared" si="0"/>
        <v>0</v>
      </c>
      <c r="E16" s="7">
        <f t="shared" si="1"/>
        <v>8</v>
      </c>
      <c r="F16" s="11">
        <f>B16+C16/1000+(12-7)/100000</f>
        <v>5e-5</v>
      </c>
    </row>
    <row r="17" spans="1:6">
      <c r="A17" s="6" t="s">
        <v>131</v>
      </c>
      <c r="B17" s="8">
        <f>COUNTIF(الإجابات!$CN$4:$CN$303,1)*3+COUNTIF(الإجابات!$CN$4:$CN$303,2)*2+COUNTIF(الإجابات!$CN$4:$CN$303,3)</f>
        <v>0</v>
      </c>
      <c r="C17" s="8">
        <f>COUNT(الإجابات!$CN$4:$CN$303)</f>
        <v>0</v>
      </c>
      <c r="D17" s="10">
        <f t="shared" si="0"/>
        <v>0</v>
      </c>
      <c r="E17" s="7">
        <f t="shared" si="1"/>
        <v>9</v>
      </c>
      <c r="F17" s="11">
        <f>B17+C17/1000+(12-8)/100000</f>
        <v>4e-5</v>
      </c>
    </row>
    <row r="18" spans="1:6">
      <c r="A18" s="6" t="s">
        <v>132</v>
      </c>
      <c r="B18" s="8">
        <f>COUNTIF(الإجابات!$CO$4:$CO$303,1)*3+COUNTIF(الإجابات!$CO$4:$CO$303,2)*2+COUNTIF(الإجابات!$CO$4:$CO$303,3)</f>
        <v>0</v>
      </c>
      <c r="C18" s="8">
        <f>COUNT(الإجابات!$CO$4:$CO$303)</f>
        <v>0</v>
      </c>
      <c r="D18" s="10">
        <f t="shared" si="0"/>
        <v>0</v>
      </c>
      <c r="E18" s="7">
        <f t="shared" si="1"/>
        <v>10</v>
      </c>
      <c r="F18" s="11">
        <f>B18+C18/1000+(12-9)/100000</f>
        <v>3e-5</v>
      </c>
    </row>
    <row r="19" spans="1:6">
      <c r="A19" s="6" t="s">
        <v>133</v>
      </c>
      <c r="B19" s="8">
        <f>COUNTIF(الإجابات!$CP$4:$CP$303,1)*3+COUNTIF(الإجابات!$CP$4:$CP$303,2)*2+COUNTIF(الإجابات!$CP$4:$CP$303,3)</f>
        <v>0</v>
      </c>
      <c r="C19" s="8">
        <f>COUNT(الإجابات!$CP$4:$CP$303)</f>
        <v>0</v>
      </c>
      <c r="D19" s="10">
        <f t="shared" si="0"/>
        <v>0</v>
      </c>
      <c r="E19" s="7">
        <f t="shared" si="1"/>
        <v>11</v>
      </c>
      <c r="F19" s="11">
        <f>B19+C19/1000+(12-10)/100000</f>
        <v>2e-5</v>
      </c>
    </row>
    <row r="20" spans="1:6">
      <c r="A20" s="6" t="s">
        <v>134</v>
      </c>
      <c r="B20" s="8">
        <f>COUNTIF(الإجابات!$CQ$4:$CQ$303,1)*3+COUNTIF(الإجابات!$CQ$4:$CQ$303,2)*2+COUNTIF(الإجابات!$CQ$4:$CQ$303,3)</f>
        <v>0</v>
      </c>
      <c r="C20" s="8">
        <f>COUNT(الإجابات!$CQ$4:$CQ$303)</f>
        <v>0</v>
      </c>
      <c r="D20" s="10">
        <f t="shared" si="0"/>
        <v>0</v>
      </c>
      <c r="E20" s="7">
        <f t="shared" si="1"/>
        <v>12</v>
      </c>
      <c r="F20" s="11">
        <f>B20+C20/1000+(12-11)/100000</f>
        <v>1e-5</v>
      </c>
    </row>
    <row r="22" spans="1:6">
      <c r="A22" s="12" t="s">
        <v>214</v>
      </c>
      <c r="B22" s="9" t="s">
        <v>210</v>
      </c>
    </row>
    <row r="23" spans="1:6">
      <c r="A23" s="6" t="str">
        <f>IF(INDEX($B$9:$B$20,MATCH(1,$E$9:$E$20,0))=0,"—",1&amp;". "&amp;INDEX($A$9:$A$20,MATCH(1,$E$9:$E$20,0)))</f>
        <v>—</v>
      </c>
      <c r="B23" s="8">
        <f>INDEX($B$9:$B$20,MATCH(1,$E$9:$E$20,0))</f>
        <v>0</v>
      </c>
    </row>
    <row r="24" spans="1:6">
      <c r="A24" s="6" t="str">
        <f>IF(INDEX($B$9:$B$20,MATCH(2,$E$9:$E$20,0))=0,"—",2&amp;". "&amp;INDEX($A$9:$A$20,MATCH(2,$E$9:$E$20,0)))</f>
        <v>—</v>
      </c>
      <c r="B24" s="8">
        <f>INDEX($B$9:$B$20,MATCH(2,$E$9:$E$20,0))</f>
        <v>0</v>
      </c>
    </row>
    <row r="25" spans="1:6">
      <c r="A25" s="6" t="str">
        <f>IF(INDEX($B$9:$B$20,MATCH(3,$E$9:$E$20,0))=0,"—",3&amp;". "&amp;INDEX($A$9:$A$20,MATCH(3,$E$9:$E$20,0)))</f>
        <v>—</v>
      </c>
      <c r="B25" s="8">
        <f>INDEX($B$9:$B$20,MATCH(3,$E$9:$E$20,0))</f>
        <v>0</v>
      </c>
    </row>
    <row r="26" spans="1:6">
      <c r="A26" s="6" t="str">
        <f>IF(INDEX($B$9:$B$20,MATCH(4,$E$9:$E$20,0))=0,"—",4&amp;". "&amp;INDEX($A$9:$A$20,MATCH(4,$E$9:$E$20,0)))</f>
        <v>—</v>
      </c>
      <c r="B26" s="8">
        <f>INDEX($B$9:$B$20,MATCH(4,$E$9:$E$20,0))</f>
        <v>0</v>
      </c>
    </row>
    <row r="27" spans="1:6">
      <c r="A27" s="6" t="str">
        <f>IF(INDEX($B$9:$B$20,MATCH(5,$E$9:$E$20,0))=0,"—",5&amp;". "&amp;INDEX($A$9:$A$20,MATCH(5,$E$9:$E$20,0)))</f>
        <v>—</v>
      </c>
      <c r="B27" s="8">
        <f>INDEX($B$9:$B$20,MATCH(5,$E$9:$E$20,0))</f>
        <v>0</v>
      </c>
    </row>
    <row r="28" ht="24" customHeight="1" spans="1:6">
      <c r="A28" s="5" t="s">
        <v>58</v>
      </c>
    </row>
    <row r="29" spans="1:6">
      <c r="A29" s="9" t="s">
        <v>215</v>
      </c>
      <c r="B29" s="9" t="s">
        <v>216</v>
      </c>
      <c r="C29" s="9" t="s">
        <v>217</v>
      </c>
    </row>
    <row r="30" spans="1:6">
      <c r="A30" s="6" t="s">
        <v>218</v>
      </c>
      <c r="B30" s="8">
        <f>COUNTIF(الإجابات!$DM$4:$DM$303,"نسبة صغيرة من كل بيعة تتم عبر التطبيق")</f>
        <v>0</v>
      </c>
      <c r="C30" s="10">
        <f>IFERROR(B30/$B$34,0)</f>
        <v>0</v>
      </c>
    </row>
    <row r="31" spans="1:6">
      <c r="A31" s="6" t="s">
        <v>193</v>
      </c>
      <c r="B31" s="8">
        <f>COUNTIF(الإجابات!$DM$4:$DM$303,"اشتراك شهري ثابت")</f>
        <v>0</v>
      </c>
      <c r="C31" s="10">
        <f>IFERROR(B31/$B$34,0)</f>
        <v>0</v>
      </c>
    </row>
    <row r="32" spans="1:6">
      <c r="A32" s="6" t="s">
        <v>219</v>
      </c>
      <c r="B32" s="8">
        <f>COUNTIF(الإجابات!$DM$4:$DM$303,"مجاني مع إعلانات")</f>
        <v>0</v>
      </c>
      <c r="C32" s="10">
        <f>IFERROR(B32/$B$34,0)</f>
        <v>0</v>
      </c>
    </row>
    <row r="33" spans="1:3">
      <c r="A33" s="6" t="s">
        <v>220</v>
      </c>
      <c r="B33" s="8">
        <f>COUNTIF(الإجابات!$DM$4:$DM$303,"لا أدفع إطلاقًا")</f>
        <v>0</v>
      </c>
      <c r="C33" s="10">
        <f>IFERROR(B33/$B$34,0)</f>
        <v>0</v>
      </c>
    </row>
    <row r="34" spans="1:3">
      <c r="A34" s="13" t="s">
        <v>221</v>
      </c>
      <c r="B34" s="8">
        <f>COUNTA(الإجابات!$DM$4:$DM$303)</f>
        <v>0</v>
      </c>
    </row>
    <row r="35" spans="1:3">
      <c r="A35" s="6" t="s">
        <v>222</v>
      </c>
      <c r="B35" s="7" t="str">
        <f>IF(MAX(B30:B33)=0,"—",INDEX(A30:A33,MATCH(MAX(B30:B33),B30:B33,0)))</f>
        <v>—</v>
      </c>
    </row>
    <row r="36" ht="24" customHeight="1" spans="1:3">
      <c r="A36" s="5" t="s">
        <v>59</v>
      </c>
    </row>
    <row r="37" spans="1:3">
      <c r="A37" s="9" t="s">
        <v>215</v>
      </c>
      <c r="B37" s="9" t="s">
        <v>216</v>
      </c>
      <c r="C37" s="9" t="s">
        <v>217</v>
      </c>
    </row>
    <row r="38" spans="1:3">
      <c r="A38" s="6" t="s">
        <v>223</v>
      </c>
      <c r="B38" s="8">
        <f>COUNTIF(الإجابات!$DN$4:$DN$303,"نسبة 1–2%")</f>
        <v>0</v>
      </c>
      <c r="C38" s="10">
        <f>IFERROR(B38/$B$43,0)</f>
        <v>0</v>
      </c>
    </row>
    <row r="39" spans="1:3">
      <c r="A39" s="6" t="s">
        <v>194</v>
      </c>
      <c r="B39" s="8">
        <f>COUNTIF(الإجابات!$DN$4:$DN$303,"نسبة 3%")</f>
        <v>0</v>
      </c>
      <c r="C39" s="10">
        <f>IFERROR(B39/$B$43,0)</f>
        <v>0</v>
      </c>
    </row>
    <row r="40" spans="1:3">
      <c r="A40" s="6" t="s">
        <v>224</v>
      </c>
      <c r="B40" s="8">
        <f>COUNTIF(الإجابات!$DN$4:$DN$303,"نسبة 5%")</f>
        <v>0</v>
      </c>
      <c r="C40" s="10">
        <f>IFERROR(B40/$B$43,0)</f>
        <v>0</v>
      </c>
    </row>
    <row r="41" spans="1:3">
      <c r="A41" s="6" t="s">
        <v>225</v>
      </c>
      <c r="B41" s="8">
        <f>COUNTIF(الإجابات!$DN$4:$DN$303,"أكثر من 5%")</f>
        <v>0</v>
      </c>
      <c r="C41" s="10">
        <f>IFERROR(B41/$B$43,0)</f>
        <v>0</v>
      </c>
    </row>
    <row r="42" spans="1:3">
      <c r="A42" s="6" t="s">
        <v>226</v>
      </c>
      <c r="B42" s="8">
        <f>COUNTIF(الإجابات!$DN$4:$DN$303,"لا أقبل نسبة")</f>
        <v>0</v>
      </c>
      <c r="C42" s="10">
        <f>IFERROR(B42/$B$43,0)</f>
        <v>0</v>
      </c>
    </row>
    <row r="43" spans="1:3">
      <c r="A43" s="13" t="s">
        <v>221</v>
      </c>
      <c r="B43" s="8">
        <f>COUNTA(الإجابات!$DN$4:$DN$303)</f>
        <v>0</v>
      </c>
    </row>
    <row r="44" spans="1:3">
      <c r="A44" s="6" t="s">
        <v>227</v>
      </c>
      <c r="B44" s="10">
        <f>IFERROR((B39+B40+B41)/B43,0)</f>
        <v>0</v>
      </c>
    </row>
    <row r="45" spans="1:3">
      <c r="A45" s="6" t="s">
        <v>228</v>
      </c>
      <c r="B45" s="10">
        <f>IFERROR((B40+B41)/B43,0)</f>
        <v>0</v>
      </c>
    </row>
    <row r="46" ht="24" customHeight="1" spans="1:3">
      <c r="A46" s="5" t="s">
        <v>60</v>
      </c>
    </row>
    <row r="47" spans="1:3">
      <c r="A47" s="9" t="s">
        <v>229</v>
      </c>
      <c r="B47" s="9" t="s">
        <v>230</v>
      </c>
    </row>
    <row r="48" spans="1:3">
      <c r="A48" s="6" t="s">
        <v>231</v>
      </c>
      <c r="B48" s="8">
        <f>COUNT(الإجابات!$DO$4:$DO$303)</f>
        <v>0</v>
      </c>
    </row>
    <row r="49" spans="1:3">
      <c r="A49" s="6" t="s">
        <v>232</v>
      </c>
      <c r="B49" s="14" t="str">
        <f>IFERROR(MEDIAN(الإجابات!$DO$4:$DO$303),"—")</f>
        <v>—</v>
      </c>
    </row>
    <row r="50" spans="1:3">
      <c r="A50" s="6" t="s">
        <v>233</v>
      </c>
      <c r="B50" s="14" t="str">
        <f>IFERROR(AVERAGE(الإجابات!$DO$4:$DO$303),"—")</f>
        <v>—</v>
      </c>
    </row>
    <row r="51" spans="1:3">
      <c r="A51" s="6" t="s">
        <v>234</v>
      </c>
      <c r="B51" s="14" t="str">
        <f>IF(COUNT(الإجابات!$DO$4:$DO$303)=0,"—",MIN(الإجابات!$DO$4:$DO$303))</f>
        <v>—</v>
      </c>
    </row>
    <row r="52" spans="1:3">
      <c r="A52" s="6" t="s">
        <v>235</v>
      </c>
      <c r="B52" s="14" t="str">
        <f>IF(COUNT(الإجابات!$DO$4:$DO$303)=0,"—",MAX(الإجابات!$DO$4:$DO$303))</f>
        <v>—</v>
      </c>
    </row>
    <row r="53" ht="24" customHeight="1" spans="1:3">
      <c r="A53" s="5" t="s">
        <v>18</v>
      </c>
    </row>
    <row r="54" spans="1:3">
      <c r="A54" s="9" t="s">
        <v>215</v>
      </c>
      <c r="B54" s="9" t="s">
        <v>216</v>
      </c>
      <c r="C54" s="9" t="s">
        <v>217</v>
      </c>
    </row>
    <row r="55" spans="1:3">
      <c r="A55" s="6" t="s">
        <v>236</v>
      </c>
      <c r="B55" s="8">
        <f>COUNTIF(الإجابات!$G$4:$G$303,"أقل من سنة")</f>
        <v>0</v>
      </c>
      <c r="C55" s="10">
        <f>IFERROR(B55/$B$59,0)</f>
        <v>0</v>
      </c>
    </row>
    <row r="56" spans="1:3">
      <c r="A56" s="6" t="s">
        <v>237</v>
      </c>
      <c r="B56" s="8">
        <f>COUNTIF(الإجابات!$G$4:$G$303,"1–5 سنوات")</f>
        <v>0</v>
      </c>
      <c r="C56" s="10">
        <f>IFERROR(B56/$B$59,0)</f>
        <v>0</v>
      </c>
    </row>
    <row r="57" spans="1:3">
      <c r="A57" s="6" t="s">
        <v>167</v>
      </c>
      <c r="B57" s="8">
        <f>COUNTIF(الإجابات!$G$4:$G$303,"6–10 سنوات")</f>
        <v>0</v>
      </c>
      <c r="C57" s="10">
        <f>IFERROR(B57/$B$59,0)</f>
        <v>0</v>
      </c>
    </row>
    <row r="58" spans="1:3">
      <c r="A58" s="6" t="s">
        <v>238</v>
      </c>
      <c r="B58" s="8">
        <f>COUNTIF(الإجابات!$G$4:$G$303,"أكثر من 10 سنوات")</f>
        <v>0</v>
      </c>
      <c r="C58" s="10">
        <f>IFERROR(B58/$B$59,0)</f>
        <v>0</v>
      </c>
    </row>
    <row r="59" spans="1:3">
      <c r="A59" s="13" t="s">
        <v>221</v>
      </c>
      <c r="B59" s="8">
        <f>COUNTA(الإجابات!$G$4:$G$303)</f>
        <v>0</v>
      </c>
    </row>
    <row r="60" ht="24" customHeight="1" spans="1:3">
      <c r="A60" s="5" t="s">
        <v>19</v>
      </c>
    </row>
    <row r="61" spans="1:3">
      <c r="A61" s="9" t="s">
        <v>215</v>
      </c>
      <c r="B61" s="9" t="s">
        <v>216</v>
      </c>
      <c r="C61" s="9" t="s">
        <v>217</v>
      </c>
    </row>
    <row r="62" spans="1:3">
      <c r="A62" s="6" t="s">
        <v>239</v>
      </c>
      <c r="B62" s="8">
        <f>COUNTIF(الإجابات!$H$4:$H$303,"صاحب المحل")</f>
        <v>0</v>
      </c>
      <c r="C62" s="10">
        <f>IFERROR(B62/$B$66,0)</f>
        <v>0</v>
      </c>
    </row>
    <row r="63" spans="1:3">
      <c r="A63" s="6" t="s">
        <v>168</v>
      </c>
      <c r="B63" s="8">
        <f>COUNTIF(الإجابات!$H$4:$H$303,"شريك")</f>
        <v>0</v>
      </c>
      <c r="C63" s="10">
        <f>IFERROR(B63/$B$66,0)</f>
        <v>0</v>
      </c>
    </row>
    <row r="64" spans="1:3">
      <c r="A64" s="6" t="s">
        <v>240</v>
      </c>
      <c r="B64" s="8">
        <f>COUNTIF(الإجابات!$H$4:$H$303,"ابن أو قريب صاحب المحل")</f>
        <v>0</v>
      </c>
      <c r="C64" s="10">
        <f>IFERROR(B64/$B$66,0)</f>
        <v>0</v>
      </c>
    </row>
    <row r="65" spans="1:3">
      <c r="A65" s="6" t="s">
        <v>241</v>
      </c>
      <c r="B65" s="8">
        <f>COUNTIF(الإجابات!$H$4:$H$303,"موظف")</f>
        <v>0</v>
      </c>
      <c r="C65" s="10">
        <f>IFERROR(B65/$B$66,0)</f>
        <v>0</v>
      </c>
    </row>
    <row r="66" spans="1:3">
      <c r="A66" s="13" t="s">
        <v>221</v>
      </c>
      <c r="B66" s="8">
        <f>COUNTA(الإجابات!$H$4:$H$303)</f>
        <v>0</v>
      </c>
    </row>
    <row r="67" ht="24" customHeight="1" spans="1:3">
      <c r="A67" s="5" t="s">
        <v>20</v>
      </c>
    </row>
    <row r="68" spans="1:3">
      <c r="A68" s="9" t="s">
        <v>215</v>
      </c>
      <c r="B68" s="9" t="s">
        <v>216</v>
      </c>
      <c r="C68" s="9" t="s">
        <v>217</v>
      </c>
    </row>
    <row r="69" spans="1:3">
      <c r="A69" s="6" t="s">
        <v>242</v>
      </c>
      <c r="B69" s="8">
        <f>COUNTIF(الإجابات!$I$4:$I$303,"1")</f>
        <v>0</v>
      </c>
      <c r="C69" s="10">
        <f>IFERROR(B69/$B$73,0)</f>
        <v>0</v>
      </c>
    </row>
    <row r="70" spans="1:3">
      <c r="A70" s="6" t="s">
        <v>243</v>
      </c>
      <c r="B70" s="8">
        <f>COUNTIF(الإجابات!$I$4:$I$303,"2")</f>
        <v>0</v>
      </c>
      <c r="C70" s="10">
        <f>IFERROR(B70/$B$73,0)</f>
        <v>0</v>
      </c>
    </row>
    <row r="71" spans="1:3">
      <c r="A71" s="6" t="s">
        <v>244</v>
      </c>
      <c r="B71" s="8">
        <f>COUNTIF(الإجابات!$I$4:$I$303,"3–5")</f>
        <v>0</v>
      </c>
      <c r="C71" s="10">
        <f>IFERROR(B71/$B$73,0)</f>
        <v>0</v>
      </c>
    </row>
    <row r="72" spans="1:3">
      <c r="A72" s="6" t="s">
        <v>169</v>
      </c>
      <c r="B72" s="8">
        <f>COUNTIF(الإجابات!$I$4:$I$303,"أكثر من 5")</f>
        <v>0</v>
      </c>
      <c r="C72" s="10">
        <f>IFERROR(B72/$B$73,0)</f>
        <v>0</v>
      </c>
    </row>
    <row r="73" spans="1:3">
      <c r="A73" s="13" t="s">
        <v>221</v>
      </c>
      <c r="B73" s="8">
        <f>COUNTA(الإجابات!$I$4:$I$303)</f>
        <v>0</v>
      </c>
    </row>
    <row r="74" ht="24" customHeight="1" spans="1:3">
      <c r="A74" s="5" t="s">
        <v>21</v>
      </c>
    </row>
    <row r="75" spans="1:3">
      <c r="A75" s="4" t="s">
        <v>245</v>
      </c>
    </row>
    <row r="76" spans="1:3">
      <c r="A76" s="9" t="s">
        <v>215</v>
      </c>
      <c r="B76" s="9" t="s">
        <v>216</v>
      </c>
      <c r="C76" s="9" t="s">
        <v>212</v>
      </c>
    </row>
    <row r="77" spans="1:3">
      <c r="A77" s="6" t="s">
        <v>72</v>
      </c>
      <c r="B77" s="8">
        <f>COUNTIF(الإجابات!$J$4:$J$303,1)</f>
        <v>0</v>
      </c>
      <c r="C77" s="10">
        <f t="shared" ref="C77:C87" si="2">IFERROR(B77/$B$4,0)</f>
        <v>0</v>
      </c>
    </row>
    <row r="78" spans="1:3">
      <c r="A78" s="6" t="s">
        <v>73</v>
      </c>
      <c r="B78" s="8">
        <f>COUNTIF(الإجابات!$K$4:$K$303,1)</f>
        <v>0</v>
      </c>
      <c r="C78" s="10">
        <f t="shared" si="2"/>
        <v>0</v>
      </c>
    </row>
    <row r="79" spans="1:3">
      <c r="A79" s="6" t="s">
        <v>74</v>
      </c>
      <c r="B79" s="8">
        <f>COUNTIF(الإجابات!$L$4:$L$303,1)</f>
        <v>0</v>
      </c>
      <c r="C79" s="10">
        <f t="shared" si="2"/>
        <v>0</v>
      </c>
    </row>
    <row r="80" spans="1:3">
      <c r="A80" s="6" t="s">
        <v>75</v>
      </c>
      <c r="B80" s="8">
        <f>COUNTIF(الإجابات!$M$4:$M$303,1)</f>
        <v>0</v>
      </c>
      <c r="C80" s="10">
        <f t="shared" si="2"/>
        <v>0</v>
      </c>
    </row>
    <row r="81" spans="1:3">
      <c r="A81" s="6" t="s">
        <v>76</v>
      </c>
      <c r="B81" s="8">
        <f>COUNTIF(الإجابات!$N$4:$N$303,1)</f>
        <v>0</v>
      </c>
      <c r="C81" s="10">
        <f t="shared" si="2"/>
        <v>0</v>
      </c>
    </row>
    <row r="82" spans="1:3">
      <c r="A82" s="6" t="s">
        <v>77</v>
      </c>
      <c r="B82" s="8">
        <f>COUNTIF(الإجابات!$O$4:$O$303,1)</f>
        <v>0</v>
      </c>
      <c r="C82" s="10">
        <f t="shared" si="2"/>
        <v>0</v>
      </c>
    </row>
    <row r="83" spans="1:3">
      <c r="A83" s="6" t="s">
        <v>78</v>
      </c>
      <c r="B83" s="8">
        <f>COUNTIF(الإجابات!$P$4:$P$303,1)</f>
        <v>0</v>
      </c>
      <c r="C83" s="10">
        <f t="shared" si="2"/>
        <v>0</v>
      </c>
    </row>
    <row r="84" spans="1:3">
      <c r="A84" s="6" t="s">
        <v>79</v>
      </c>
      <c r="B84" s="8">
        <f>COUNTIF(الإجابات!$Q$4:$Q$303,1)</f>
        <v>0</v>
      </c>
      <c r="C84" s="10">
        <f t="shared" si="2"/>
        <v>0</v>
      </c>
    </row>
    <row r="85" spans="1:3">
      <c r="A85" s="6" t="s">
        <v>80</v>
      </c>
      <c r="B85" s="8">
        <f>COUNTIF(الإجابات!$R$4:$R$303,1)</f>
        <v>0</v>
      </c>
      <c r="C85" s="10">
        <f t="shared" si="2"/>
        <v>0</v>
      </c>
    </row>
    <row r="86" spans="1:3">
      <c r="A86" s="6" t="s">
        <v>81</v>
      </c>
      <c r="B86" s="8">
        <f>COUNTIF(الإجابات!$S$4:$S$303,1)</f>
        <v>0</v>
      </c>
      <c r="C86" s="10">
        <f t="shared" si="2"/>
        <v>0</v>
      </c>
    </row>
    <row r="87" spans="1:3">
      <c r="A87" s="6" t="s">
        <v>82</v>
      </c>
      <c r="B87" s="8">
        <f>COUNTIF(الإجابات!$T$4:$T$303,1)</f>
        <v>0</v>
      </c>
      <c r="C87" s="10">
        <f t="shared" si="2"/>
        <v>0</v>
      </c>
    </row>
    <row r="88" spans="1:3">
      <c r="A88" s="6" t="s">
        <v>246</v>
      </c>
      <c r="B88" s="8">
        <f>COUNTA(الإجابات!$U$4:$U$303)</f>
        <v>0</v>
      </c>
    </row>
    <row r="89" ht="24" customHeight="1" spans="1:3">
      <c r="A89" s="5" t="s">
        <v>22</v>
      </c>
    </row>
    <row r="90" spans="1:3">
      <c r="A90" s="4" t="s">
        <v>245</v>
      </c>
    </row>
    <row r="91" spans="1:3">
      <c r="A91" s="9" t="s">
        <v>215</v>
      </c>
      <c r="B91" s="9" t="s">
        <v>216</v>
      </c>
      <c r="C91" s="9" t="s">
        <v>212</v>
      </c>
    </row>
    <row r="92" spans="1:3">
      <c r="A92" s="6" t="s">
        <v>84</v>
      </c>
      <c r="B92" s="8">
        <f>COUNTIF(الإجابات!$V$4:$V$303,1)</f>
        <v>0</v>
      </c>
      <c r="C92" s="10">
        <f>IFERROR(B92/$B$4,0)</f>
        <v>0</v>
      </c>
    </row>
    <row r="93" spans="1:3">
      <c r="A93" s="6" t="s">
        <v>85</v>
      </c>
      <c r="B93" s="8">
        <f>COUNTIF(الإجابات!$W$4:$W$303,1)</f>
        <v>0</v>
      </c>
      <c r="C93" s="10">
        <f>IFERROR(B93/$B$4,0)</f>
        <v>0</v>
      </c>
    </row>
    <row r="94" spans="1:3">
      <c r="A94" s="6" t="s">
        <v>86</v>
      </c>
      <c r="B94" s="8">
        <f>COUNTIF(الإجابات!$X$4:$X$303,1)</f>
        <v>0</v>
      </c>
      <c r="C94" s="10">
        <f>IFERROR(B94/$B$4,0)</f>
        <v>0</v>
      </c>
    </row>
    <row r="95" ht="24" customHeight="1" spans="1:3">
      <c r="A95" s="5" t="s">
        <v>23</v>
      </c>
    </row>
    <row r="96" spans="1:3">
      <c r="A96" s="4" t="s">
        <v>245</v>
      </c>
    </row>
    <row r="97" spans="1:3">
      <c r="A97" s="9" t="s">
        <v>215</v>
      </c>
      <c r="B97" s="9" t="s">
        <v>216</v>
      </c>
      <c r="C97" s="9" t="s">
        <v>212</v>
      </c>
    </row>
    <row r="98" spans="1:3">
      <c r="A98" s="6" t="s">
        <v>87</v>
      </c>
      <c r="B98" s="8">
        <f>COUNTIF(الإجابات!$Y$4:$Y$303,1)</f>
        <v>0</v>
      </c>
      <c r="C98" s="10">
        <f t="shared" ref="C98:C104" si="3">IFERROR(B98/$B$4,0)</f>
        <v>0</v>
      </c>
    </row>
    <row r="99" spans="1:3">
      <c r="A99" s="6" t="s">
        <v>88</v>
      </c>
      <c r="B99" s="8">
        <f>COUNTIF(الإجابات!$Z$4:$Z$303,1)</f>
        <v>0</v>
      </c>
      <c r="C99" s="10">
        <f t="shared" si="3"/>
        <v>0</v>
      </c>
    </row>
    <row r="100" spans="1:3">
      <c r="A100" s="6" t="s">
        <v>89</v>
      </c>
      <c r="B100" s="8">
        <f>COUNTIF(الإجابات!$AA$4:$AA$303,1)</f>
        <v>0</v>
      </c>
      <c r="C100" s="10">
        <f t="shared" si="3"/>
        <v>0</v>
      </c>
    </row>
    <row r="101" spans="1:3">
      <c r="A101" s="6" t="s">
        <v>90</v>
      </c>
      <c r="B101" s="8">
        <f>COUNTIF(الإجابات!$AB$4:$AB$303,1)</f>
        <v>0</v>
      </c>
      <c r="C101" s="10">
        <f t="shared" si="3"/>
        <v>0</v>
      </c>
    </row>
    <row r="102" spans="1:3">
      <c r="A102" s="6" t="s">
        <v>91</v>
      </c>
      <c r="B102" s="8">
        <f>COUNTIF(الإجابات!$AC$4:$AC$303,1)</f>
        <v>0</v>
      </c>
      <c r="C102" s="10">
        <f t="shared" si="3"/>
        <v>0</v>
      </c>
    </row>
    <row r="103" spans="1:3">
      <c r="A103" s="6" t="s">
        <v>92</v>
      </c>
      <c r="B103" s="8">
        <f>COUNTIF(الإجابات!$AD$4:$AD$303,1)</f>
        <v>0</v>
      </c>
      <c r="C103" s="10">
        <f t="shared" si="3"/>
        <v>0</v>
      </c>
    </row>
    <row r="104" spans="1:3">
      <c r="A104" s="6" t="s">
        <v>93</v>
      </c>
      <c r="B104" s="8">
        <f>COUNTIF(الإجابات!$AE$4:$AE$303,1)</f>
        <v>0</v>
      </c>
      <c r="C104" s="10">
        <f t="shared" si="3"/>
        <v>0</v>
      </c>
    </row>
    <row r="105" spans="1:3">
      <c r="A105" s="6" t="s">
        <v>246</v>
      </c>
      <c r="B105" s="8">
        <f>COUNTA(الإجابات!$AF$4:$AF$303)</f>
        <v>0</v>
      </c>
    </row>
    <row r="106" ht="24" customHeight="1" spans="1:3">
      <c r="A106" s="5" t="s">
        <v>24</v>
      </c>
    </row>
    <row r="107" spans="1:3">
      <c r="A107" s="9" t="s">
        <v>215</v>
      </c>
      <c r="B107" s="9" t="s">
        <v>216</v>
      </c>
      <c r="C107" s="9" t="s">
        <v>217</v>
      </c>
    </row>
    <row r="108" spans="1:3">
      <c r="A108" s="6" t="s">
        <v>170</v>
      </c>
      <c r="B108" s="8">
        <f>COUNTIF(الإجابات!$AG$4:$AG$303,"أقل من 100")</f>
        <v>0</v>
      </c>
      <c r="C108" s="10">
        <f>IFERROR(B108/$B$113,0)</f>
        <v>0</v>
      </c>
    </row>
    <row r="109" spans="1:3">
      <c r="A109" s="6" t="s">
        <v>247</v>
      </c>
      <c r="B109" s="8">
        <f>COUNTIF(الإجابات!$AG$4:$AG$303,"100–500")</f>
        <v>0</v>
      </c>
      <c r="C109" s="10">
        <f>IFERROR(B109/$B$113,0)</f>
        <v>0</v>
      </c>
    </row>
    <row r="110" spans="1:3">
      <c r="A110" s="6" t="s">
        <v>248</v>
      </c>
      <c r="B110" s="8">
        <f>COUNTIF(الإجابات!$AG$4:$AG$303,"500–2,000")</f>
        <v>0</v>
      </c>
      <c r="C110" s="10">
        <f>IFERROR(B110/$B$113,0)</f>
        <v>0</v>
      </c>
    </row>
    <row r="111" spans="1:3">
      <c r="A111" s="6" t="s">
        <v>249</v>
      </c>
      <c r="B111" s="8">
        <f>COUNTIF(الإجابات!$AG$4:$AG$303,"أكثر من 2,000")</f>
        <v>0</v>
      </c>
      <c r="C111" s="10">
        <f>IFERROR(B111/$B$113,0)</f>
        <v>0</v>
      </c>
    </row>
    <row r="112" spans="1:3">
      <c r="A112" s="6" t="s">
        <v>250</v>
      </c>
      <c r="B112" s="8">
        <f>COUNTIF(الإجابات!$AG$4:$AG$303,"لا أعرف")</f>
        <v>0</v>
      </c>
      <c r="C112" s="10">
        <f>IFERROR(B112/$B$113,0)</f>
        <v>0</v>
      </c>
    </row>
    <row r="113" spans="1:3">
      <c r="A113" s="13" t="s">
        <v>221</v>
      </c>
      <c r="B113" s="8">
        <f>COUNTA(الإجابات!$AG$4:$AG$303)</f>
        <v>0</v>
      </c>
    </row>
    <row r="114" ht="24" customHeight="1" spans="1:3">
      <c r="A114" s="5" t="s">
        <v>25</v>
      </c>
    </row>
    <row r="115" spans="1:3">
      <c r="A115" s="9" t="s">
        <v>215</v>
      </c>
      <c r="B115" s="9" t="s">
        <v>216</v>
      </c>
      <c r="C115" s="9" t="s">
        <v>217</v>
      </c>
    </row>
    <row r="116" spans="1:3">
      <c r="A116" s="6" t="s">
        <v>171</v>
      </c>
      <c r="B116" s="8">
        <f>COUNTIF(الإجابات!$AH$4:$AH$303,"أقل من 5")</f>
        <v>0</v>
      </c>
      <c r="C116" s="10">
        <f>IFERROR(B116/$B$120,0)</f>
        <v>0</v>
      </c>
    </row>
    <row r="117" spans="1:3">
      <c r="A117" s="6" t="s">
        <v>251</v>
      </c>
      <c r="B117" s="8">
        <f>COUNTIF(الإجابات!$AH$4:$AH$303,"5–15")</f>
        <v>0</v>
      </c>
      <c r="C117" s="10">
        <f>IFERROR(B117/$B$120,0)</f>
        <v>0</v>
      </c>
    </row>
    <row r="118" spans="1:3">
      <c r="A118" s="6" t="s">
        <v>252</v>
      </c>
      <c r="B118" s="8">
        <f>COUNTIF(الإجابات!$AH$4:$AH$303,"16–30")</f>
        <v>0</v>
      </c>
      <c r="C118" s="10">
        <f>IFERROR(B118/$B$120,0)</f>
        <v>0</v>
      </c>
    </row>
    <row r="119" spans="1:3">
      <c r="A119" s="6" t="s">
        <v>253</v>
      </c>
      <c r="B119" s="8">
        <f>COUNTIF(الإجابات!$AH$4:$AH$303,"أكثر من 30")</f>
        <v>0</v>
      </c>
      <c r="C119" s="10">
        <f>IFERROR(B119/$B$120,0)</f>
        <v>0</v>
      </c>
    </row>
    <row r="120" spans="1:3">
      <c r="A120" s="13" t="s">
        <v>221</v>
      </c>
      <c r="B120" s="8">
        <f>COUNTA(الإجابات!$AH$4:$AH$303)</f>
        <v>0</v>
      </c>
    </row>
    <row r="121" ht="24" customHeight="1" spans="1:3">
      <c r="A121" s="5" t="s">
        <v>26</v>
      </c>
    </row>
    <row r="122" spans="1:3">
      <c r="A122" s="4" t="s">
        <v>245</v>
      </c>
    </row>
    <row r="123" spans="1:3">
      <c r="A123" s="9" t="s">
        <v>215</v>
      </c>
      <c r="B123" s="9" t="s">
        <v>216</v>
      </c>
      <c r="C123" s="9" t="s">
        <v>212</v>
      </c>
    </row>
    <row r="124" spans="1:3">
      <c r="A124" s="6" t="s">
        <v>94</v>
      </c>
      <c r="B124" s="8">
        <f>COUNTIF(الإجابات!$AI$4:$AI$303,1)</f>
        <v>0</v>
      </c>
      <c r="C124" s="10">
        <f t="shared" ref="C124:C129" si="4">IFERROR(B124/$B$4,0)</f>
        <v>0</v>
      </c>
    </row>
    <row r="125" spans="1:3">
      <c r="A125" s="6" t="s">
        <v>95</v>
      </c>
      <c r="B125" s="8">
        <f>COUNTIF(الإجابات!$AJ$4:$AJ$303,1)</f>
        <v>0</v>
      </c>
      <c r="C125" s="10">
        <f t="shared" si="4"/>
        <v>0</v>
      </c>
    </row>
    <row r="126" spans="1:3">
      <c r="A126" s="6" t="s">
        <v>96</v>
      </c>
      <c r="B126" s="8">
        <f>COUNTIF(الإجابات!$AK$4:$AK$303,1)</f>
        <v>0</v>
      </c>
      <c r="C126" s="10">
        <f t="shared" si="4"/>
        <v>0</v>
      </c>
    </row>
    <row r="127" spans="1:3">
      <c r="A127" s="6" t="s">
        <v>97</v>
      </c>
      <c r="B127" s="8">
        <f>COUNTIF(الإجابات!$AL$4:$AL$303,1)</f>
        <v>0</v>
      </c>
      <c r="C127" s="10">
        <f t="shared" si="4"/>
        <v>0</v>
      </c>
    </row>
    <row r="128" spans="1:3">
      <c r="A128" s="6" t="s">
        <v>98</v>
      </c>
      <c r="B128" s="8">
        <f>COUNTIF(الإجابات!$AM$4:$AM$303,1)</f>
        <v>0</v>
      </c>
      <c r="C128" s="10">
        <f t="shared" si="4"/>
        <v>0</v>
      </c>
    </row>
    <row r="129" spans="1:3">
      <c r="A129" s="6" t="s">
        <v>99</v>
      </c>
      <c r="B129" s="8">
        <f>COUNTIF(الإجابات!$AN$4:$AN$303,1)</f>
        <v>0</v>
      </c>
      <c r="C129" s="10">
        <f t="shared" si="4"/>
        <v>0</v>
      </c>
    </row>
    <row r="130" ht="24" customHeight="1" spans="1:3">
      <c r="A130" s="5" t="s">
        <v>27</v>
      </c>
    </row>
    <row r="131" spans="1:3">
      <c r="A131" s="4" t="s">
        <v>245</v>
      </c>
    </row>
    <row r="132" spans="1:3">
      <c r="A132" s="9" t="s">
        <v>215</v>
      </c>
      <c r="B132" s="9" t="s">
        <v>216</v>
      </c>
      <c r="C132" s="9" t="s">
        <v>212</v>
      </c>
    </row>
    <row r="133" spans="1:3">
      <c r="A133" s="6" t="s">
        <v>100</v>
      </c>
      <c r="B133" s="8">
        <f>COUNTIF(الإجابات!$AO$4:$AO$303,1)</f>
        <v>0</v>
      </c>
      <c r="C133" s="10">
        <f>IFERROR(B133/$B$4,0)</f>
        <v>0</v>
      </c>
    </row>
    <row r="134" spans="1:3">
      <c r="A134" s="6" t="s">
        <v>101</v>
      </c>
      <c r="B134" s="8">
        <f>COUNTIF(الإجابات!$AP$4:$AP$303,1)</f>
        <v>0</v>
      </c>
      <c r="C134" s="10">
        <f>IFERROR(B134/$B$4,0)</f>
        <v>0</v>
      </c>
    </row>
    <row r="135" spans="1:3">
      <c r="A135" s="6" t="s">
        <v>102</v>
      </c>
      <c r="B135" s="8">
        <f>COUNTIF(الإجابات!$AQ$4:$AQ$303,1)</f>
        <v>0</v>
      </c>
      <c r="C135" s="10">
        <f>IFERROR(B135/$B$4,0)</f>
        <v>0</v>
      </c>
    </row>
    <row r="136" spans="1:3">
      <c r="A136" s="6" t="s">
        <v>103</v>
      </c>
      <c r="B136" s="8">
        <f>COUNTIF(الإجابات!$AR$4:$AR$303,1)</f>
        <v>0</v>
      </c>
      <c r="C136" s="10">
        <f>IFERROR(B136/$B$4,0)</f>
        <v>0</v>
      </c>
    </row>
    <row r="137" ht="24" customHeight="1" spans="1:3">
      <c r="A137" s="5" t="s">
        <v>28</v>
      </c>
    </row>
    <row r="138" spans="1:3">
      <c r="A138" s="9" t="s">
        <v>215</v>
      </c>
      <c r="B138" s="9" t="s">
        <v>216</v>
      </c>
      <c r="C138" s="9" t="s">
        <v>217</v>
      </c>
    </row>
    <row r="139" spans="1:3">
      <c r="A139" s="6" t="s">
        <v>178</v>
      </c>
      <c r="B139" s="8">
        <f>COUNTIF(الإجابات!$AS$4:$AS$303,"نادرًا")</f>
        <v>0</v>
      </c>
      <c r="C139" s="10">
        <f>IFERROR(B139/$B$143,0)</f>
        <v>0</v>
      </c>
    </row>
    <row r="140" spans="1:3">
      <c r="A140" s="6" t="s">
        <v>254</v>
      </c>
      <c r="B140" s="8">
        <f>COUNTIF(الإجابات!$AS$4:$AS$303,"مرة أو مرتين في اليوم")</f>
        <v>0</v>
      </c>
      <c r="C140" s="10">
        <f>IFERROR(B140/$B$143,0)</f>
        <v>0</v>
      </c>
    </row>
    <row r="141" spans="1:3">
      <c r="A141" s="6" t="s">
        <v>255</v>
      </c>
      <c r="B141" s="8">
        <f>COUNTIF(الإجابات!$AS$4:$AS$303,"عدة مرات في اليوم")</f>
        <v>0</v>
      </c>
      <c r="C141" s="10">
        <f>IFERROR(B141/$B$143,0)</f>
        <v>0</v>
      </c>
    </row>
    <row r="142" spans="1:3">
      <c r="A142" s="6" t="s">
        <v>172</v>
      </c>
      <c r="B142" s="8">
        <f>COUNTIF(الإجابات!$AS$4:$AS$303,"أغلب الزبائن")</f>
        <v>0</v>
      </c>
      <c r="C142" s="10">
        <f>IFERROR(B142/$B$143,0)</f>
        <v>0</v>
      </c>
    </row>
    <row r="143" spans="1:3">
      <c r="A143" s="13" t="s">
        <v>221</v>
      </c>
      <c r="B143" s="8">
        <f>COUNTA(الإجابات!$AS$4:$AS$303)</f>
        <v>0</v>
      </c>
    </row>
    <row r="144" ht="24" customHeight="1" spans="1:3">
      <c r="A144" s="5" t="s">
        <v>29</v>
      </c>
    </row>
    <row r="145" spans="1:3">
      <c r="A145" s="9" t="s">
        <v>215</v>
      </c>
      <c r="B145" s="9" t="s">
        <v>216</v>
      </c>
      <c r="C145" s="9" t="s">
        <v>217</v>
      </c>
    </row>
    <row r="146" spans="1:3">
      <c r="A146" s="6" t="s">
        <v>173</v>
      </c>
      <c r="B146" s="8">
        <f>COUNTIF(الإجابات!$AT$4:$AT$303,"أعتذر ويذهب الزبون")</f>
        <v>0</v>
      </c>
      <c r="C146" s="10">
        <f>IFERROR(B146/$B$150,0)</f>
        <v>0</v>
      </c>
    </row>
    <row r="147" spans="1:3">
      <c r="A147" s="6" t="s">
        <v>256</v>
      </c>
      <c r="B147" s="8">
        <f>COUNTIF(الإجابات!$AT$4:$AT$303,"أدلّه على محل آخر")</f>
        <v>0</v>
      </c>
      <c r="C147" s="10">
        <f>IFERROR(B147/$B$150,0)</f>
        <v>0</v>
      </c>
    </row>
    <row r="148" spans="1:3">
      <c r="A148" s="6" t="s">
        <v>257</v>
      </c>
      <c r="B148" s="8">
        <f>COUNTIF(الإجابات!$AT$4:$AT$303,"أجلبها من محل آخر وأبيعها له")</f>
        <v>0</v>
      </c>
      <c r="C148" s="10">
        <f>IFERROR(B148/$B$150,0)</f>
        <v>0</v>
      </c>
    </row>
    <row r="149" spans="1:3">
      <c r="A149" s="6" t="s">
        <v>258</v>
      </c>
      <c r="B149" s="8">
        <f>COUNTIF(الإجابات!$AT$4:$AT$303,"أطلبها وأقول له يرجع بعدين")</f>
        <v>0</v>
      </c>
      <c r="C149" s="10">
        <f>IFERROR(B149/$B$150,0)</f>
        <v>0</v>
      </c>
    </row>
    <row r="150" spans="1:3">
      <c r="A150" s="13" t="s">
        <v>221</v>
      </c>
      <c r="B150" s="8">
        <f>COUNTA(الإجابات!$AT$4:$AT$303)</f>
        <v>0</v>
      </c>
    </row>
    <row r="151" ht="24" customHeight="1" spans="1:3">
      <c r="A151" s="5" t="s">
        <v>30</v>
      </c>
    </row>
    <row r="152" spans="1:3">
      <c r="A152" s="9" t="s">
        <v>215</v>
      </c>
      <c r="B152" s="9" t="s">
        <v>216</v>
      </c>
      <c r="C152" s="9" t="s">
        <v>217</v>
      </c>
    </row>
    <row r="153" spans="1:3">
      <c r="A153" s="6" t="s">
        <v>174</v>
      </c>
      <c r="B153" s="8">
        <f>COUNTIF(الإجابات!$AU$4:$AU$303,"يحضر القطعة القديمة")</f>
        <v>0</v>
      </c>
      <c r="C153" s="10">
        <f>IFERROR(B153/$B$157,0)</f>
        <v>0</v>
      </c>
    </row>
    <row r="154" spans="1:3">
      <c r="A154" s="6" t="s">
        <v>259</v>
      </c>
      <c r="B154" s="8">
        <f>COUNTIF(الإجابات!$AU$4:$AU$303,"يرسل صورة")</f>
        <v>0</v>
      </c>
      <c r="C154" s="10">
        <f>IFERROR(B154/$B$157,0)</f>
        <v>0</v>
      </c>
    </row>
    <row r="155" spans="1:3">
      <c r="A155" s="6" t="s">
        <v>260</v>
      </c>
      <c r="B155" s="8">
        <f>COUNTIF(الإجابات!$AU$4:$AU$303,"يصفها بالكلام")</f>
        <v>0</v>
      </c>
      <c r="C155" s="10">
        <f>IFERROR(B155/$B$157,0)</f>
        <v>0</v>
      </c>
    </row>
    <row r="156" spans="1:3">
      <c r="A156" s="6" t="s">
        <v>261</v>
      </c>
      <c r="B156" s="8">
        <f>COUNTIF(الإجابات!$AU$4:$AU$303,"نادرًا ما يحدث")</f>
        <v>0</v>
      </c>
      <c r="C156" s="10">
        <f>IFERROR(B156/$B$157,0)</f>
        <v>0</v>
      </c>
    </row>
    <row r="157" spans="1:3">
      <c r="A157" s="13" t="s">
        <v>221</v>
      </c>
      <c r="B157" s="8">
        <f>COUNTA(الإجابات!$AU$4:$AU$303)</f>
        <v>0</v>
      </c>
    </row>
    <row r="158" ht="24" customHeight="1" spans="1:3">
      <c r="A158" s="5" t="s">
        <v>31</v>
      </c>
    </row>
    <row r="159" spans="1:3">
      <c r="A159" s="9" t="s">
        <v>215</v>
      </c>
      <c r="B159" s="9" t="s">
        <v>216</v>
      </c>
      <c r="C159" s="9" t="s">
        <v>217</v>
      </c>
    </row>
    <row r="160" spans="1:3">
      <c r="A160" s="6" t="s">
        <v>262</v>
      </c>
      <c r="B160" s="8">
        <f>COUNTIF(الإجابات!$AW$4:$AW$303,"تقريبًا لا شيء")</f>
        <v>0</v>
      </c>
      <c r="C160" s="10">
        <f>IFERROR(B160/$B$164,0)</f>
        <v>0</v>
      </c>
    </row>
    <row r="161" spans="1:3">
      <c r="A161" s="6" t="s">
        <v>176</v>
      </c>
      <c r="B161" s="8">
        <f>COUNTIF(الإجابات!$AW$4:$AW$303,"أقل من ساعة")</f>
        <v>0</v>
      </c>
      <c r="C161" s="10">
        <f>IFERROR(B161/$B$164,0)</f>
        <v>0</v>
      </c>
    </row>
    <row r="162" spans="1:3">
      <c r="A162" s="6" t="s">
        <v>263</v>
      </c>
      <c r="B162" s="8">
        <f>COUNTIF(الإجابات!$AW$4:$AW$303,"1–2 ساعة")</f>
        <v>0</v>
      </c>
      <c r="C162" s="10">
        <f>IFERROR(B162/$B$164,0)</f>
        <v>0</v>
      </c>
    </row>
    <row r="163" spans="1:3">
      <c r="A163" s="6" t="s">
        <v>264</v>
      </c>
      <c r="B163" s="8">
        <f>COUNTIF(الإجابات!$AW$4:$AW$303,"أكثر من ساعتين")</f>
        <v>0</v>
      </c>
      <c r="C163" s="10">
        <f>IFERROR(B163/$B$164,0)</f>
        <v>0</v>
      </c>
    </row>
    <row r="164" spans="1:3">
      <c r="A164" s="13" t="s">
        <v>221</v>
      </c>
      <c r="B164" s="8">
        <f>COUNTA(الإجابات!$AW$4:$AW$303)</f>
        <v>0</v>
      </c>
    </row>
    <row r="165" ht="24" customHeight="1" spans="1:3">
      <c r="A165" s="5" t="s">
        <v>32</v>
      </c>
    </row>
    <row r="166" spans="1:3">
      <c r="A166" s="9" t="s">
        <v>215</v>
      </c>
      <c r="B166" s="9" t="s">
        <v>216</v>
      </c>
      <c r="C166" s="9" t="s">
        <v>217</v>
      </c>
    </row>
    <row r="167" spans="1:3">
      <c r="A167" s="6" t="s">
        <v>177</v>
      </c>
      <c r="B167" s="8">
        <f>COUNTIF(الإجابات!$AX$4:$AX$303,"نعم، بنفسي أو بموظف")</f>
        <v>0</v>
      </c>
      <c r="C167" s="10">
        <f>IFERROR(B167/$B$171,0)</f>
        <v>0</v>
      </c>
    </row>
    <row r="168" spans="1:3">
      <c r="A168" s="6" t="s">
        <v>265</v>
      </c>
      <c r="B168" s="8">
        <f>COUNTIF(الإجابات!$AX$4:$AX$303,"نعم، عبر ركشة أو مواصلات")</f>
        <v>0</v>
      </c>
      <c r="C168" s="10">
        <f>IFERROR(B168/$B$171,0)</f>
        <v>0</v>
      </c>
    </row>
    <row r="169" spans="1:3">
      <c r="A169" s="6" t="s">
        <v>178</v>
      </c>
      <c r="B169" s="8">
        <f>COUNTIF(الإجابات!$AX$4:$AX$303,"نادرًا")</f>
        <v>0</v>
      </c>
      <c r="C169" s="10">
        <f>IFERROR(B169/$B$171,0)</f>
        <v>0</v>
      </c>
    </row>
    <row r="170" spans="1:3">
      <c r="A170" s="6" t="s">
        <v>189</v>
      </c>
      <c r="B170" s="8">
        <f>COUNTIF(الإجابات!$AX$4:$AX$303,"لا")</f>
        <v>0</v>
      </c>
      <c r="C170" s="10">
        <f>IFERROR(B170/$B$171,0)</f>
        <v>0</v>
      </c>
    </row>
    <row r="171" spans="1:3">
      <c r="A171" s="13" t="s">
        <v>221</v>
      </c>
      <c r="B171" s="8">
        <f>COUNTA(الإجابات!$AX$4:$AX$303)</f>
        <v>0</v>
      </c>
    </row>
    <row r="172" ht="24" customHeight="1" spans="1:3">
      <c r="A172" s="5" t="s">
        <v>33</v>
      </c>
    </row>
    <row r="173" spans="1:3">
      <c r="A173" s="9" t="s">
        <v>215</v>
      </c>
      <c r="B173" s="9" t="s">
        <v>216</v>
      </c>
      <c r="C173" s="9" t="s">
        <v>217</v>
      </c>
    </row>
    <row r="174" spans="1:3">
      <c r="A174" s="6" t="s">
        <v>266</v>
      </c>
      <c r="B174" s="8">
        <f>COUNTIF(الإجابات!$AY$4:$AY$303,"يوميًا")</f>
        <v>0</v>
      </c>
      <c r="C174" s="10">
        <f>IFERROR(B174/$B$178,0)</f>
        <v>0</v>
      </c>
    </row>
    <row r="175" spans="1:3">
      <c r="A175" s="6" t="s">
        <v>267</v>
      </c>
      <c r="B175" s="8">
        <f>COUNTIF(الإجابات!$AY$4:$AY$303,"أسبوعيًا")</f>
        <v>0</v>
      </c>
      <c r="C175" s="10">
        <f>IFERROR(B175/$B$178,0)</f>
        <v>0</v>
      </c>
    </row>
    <row r="176" spans="1:3">
      <c r="A176" s="6" t="s">
        <v>268</v>
      </c>
      <c r="B176" s="8">
        <f>COUNTIF(الإجابات!$AY$4:$AY$303,"شهريًا")</f>
        <v>0</v>
      </c>
      <c r="C176" s="10">
        <f>IFERROR(B176/$B$178,0)</f>
        <v>0</v>
      </c>
    </row>
    <row r="177" spans="1:3">
      <c r="A177" s="6" t="s">
        <v>178</v>
      </c>
      <c r="B177" s="8">
        <f>COUNTIF(الإجابات!$AY$4:$AY$303,"نادرًا")</f>
        <v>0</v>
      </c>
      <c r="C177" s="10">
        <f>IFERROR(B177/$B$178,0)</f>
        <v>0</v>
      </c>
    </row>
    <row r="178" spans="1:3">
      <c r="A178" s="13" t="s">
        <v>221</v>
      </c>
      <c r="B178" s="8">
        <f>COUNTA(الإجابات!$AY$4:$AY$303)</f>
        <v>0</v>
      </c>
    </row>
    <row r="179" ht="24" customHeight="1" spans="1:3">
      <c r="A179" s="5" t="s">
        <v>34</v>
      </c>
    </row>
    <row r="180" spans="1:3">
      <c r="A180" s="9" t="s">
        <v>215</v>
      </c>
      <c r="B180" s="9" t="s">
        <v>216</v>
      </c>
      <c r="C180" s="9" t="s">
        <v>217</v>
      </c>
    </row>
    <row r="181" spans="1:3">
      <c r="A181" s="6" t="s">
        <v>179</v>
      </c>
      <c r="B181" s="8">
        <f>COUNTIF(الإجابات!$AZ$4:$AZ$303,"من ذاكرتي")</f>
        <v>0</v>
      </c>
      <c r="C181" s="10">
        <f>IFERROR(B181/$B$185,0)</f>
        <v>0</v>
      </c>
    </row>
    <row r="182" spans="1:3">
      <c r="A182" s="6" t="s">
        <v>269</v>
      </c>
      <c r="B182" s="8">
        <f>COUNTIF(الإجابات!$AZ$4:$AZ$303,"دفتر")</f>
        <v>0</v>
      </c>
      <c r="C182" s="10">
        <f>IFERROR(B182/$B$185,0)</f>
        <v>0</v>
      </c>
    </row>
    <row r="183" spans="1:3">
      <c r="A183" s="6" t="s">
        <v>270</v>
      </c>
      <c r="B183" s="8">
        <f>COUNTIF(الإجابات!$AZ$4:$AZ$303,"برنامج أو إكسل على الكمبيوتر")</f>
        <v>0</v>
      </c>
      <c r="C183" s="10">
        <f>IFERROR(B183/$B$185,0)</f>
        <v>0</v>
      </c>
    </row>
    <row r="184" spans="1:3">
      <c r="A184" s="6" t="s">
        <v>271</v>
      </c>
      <c r="B184" s="8">
        <f>COUNTIF(الإجابات!$AZ$4:$AZ$303,"تطبيق على الهاتف")</f>
        <v>0</v>
      </c>
      <c r="C184" s="10">
        <f>IFERROR(B184/$B$185,0)</f>
        <v>0</v>
      </c>
    </row>
    <row r="185" spans="1:3">
      <c r="A185" s="13" t="s">
        <v>221</v>
      </c>
      <c r="B185" s="8">
        <f>COUNTA(الإجابات!$AZ$4:$AZ$303)</f>
        <v>0</v>
      </c>
    </row>
    <row r="186" ht="24" customHeight="1" spans="1:3">
      <c r="A186" s="5" t="s">
        <v>35</v>
      </c>
    </row>
    <row r="187" spans="1:3">
      <c r="A187" s="9" t="s">
        <v>215</v>
      </c>
      <c r="B187" s="9" t="s">
        <v>216</v>
      </c>
      <c r="C187" s="9" t="s">
        <v>217</v>
      </c>
    </row>
    <row r="188" spans="1:3">
      <c r="A188" s="6" t="s">
        <v>185</v>
      </c>
      <c r="B188" s="8">
        <f>COUNTIF(الإجابات!$BA$4:$BA$303,"كثيرًا")</f>
        <v>0</v>
      </c>
      <c r="C188" s="10">
        <f>IFERROR(B188/$B$192,0)</f>
        <v>0</v>
      </c>
    </row>
    <row r="189" spans="1:3">
      <c r="A189" s="6" t="s">
        <v>180</v>
      </c>
      <c r="B189" s="8">
        <f>COUNTIF(الإجابات!$BA$4:$BA$303,"أحيانًا")</f>
        <v>0</v>
      </c>
      <c r="C189" s="10">
        <f>IFERROR(B189/$B$192,0)</f>
        <v>0</v>
      </c>
    </row>
    <row r="190" spans="1:3">
      <c r="A190" s="6" t="s">
        <v>178</v>
      </c>
      <c r="B190" s="8">
        <f>COUNTIF(الإجابات!$BA$4:$BA$303,"نادرًا")</f>
        <v>0</v>
      </c>
      <c r="C190" s="10">
        <f>IFERROR(B190/$B$192,0)</f>
        <v>0</v>
      </c>
    </row>
    <row r="191" spans="1:3">
      <c r="A191" s="6" t="s">
        <v>272</v>
      </c>
      <c r="B191" s="8">
        <f>COUNTIF(الإجابات!$BA$4:$BA$303,"أبدًا")</f>
        <v>0</v>
      </c>
      <c r="C191" s="10">
        <f>IFERROR(B191/$B$192,0)</f>
        <v>0</v>
      </c>
    </row>
    <row r="192" spans="1:3">
      <c r="A192" s="13" t="s">
        <v>221</v>
      </c>
      <c r="B192" s="8">
        <f>COUNTA(الإجابات!$BA$4:$BA$303)</f>
        <v>0</v>
      </c>
    </row>
    <row r="193" ht="24" customHeight="1" spans="1:3">
      <c r="A193" s="5" t="s">
        <v>36</v>
      </c>
    </row>
    <row r="194" spans="1:3">
      <c r="A194" s="9" t="s">
        <v>215</v>
      </c>
      <c r="B194" s="9" t="s">
        <v>216</v>
      </c>
      <c r="C194" s="9" t="s">
        <v>217</v>
      </c>
    </row>
    <row r="195" spans="1:3">
      <c r="A195" s="6" t="s">
        <v>181</v>
      </c>
      <c r="B195" s="8">
        <f>COUNTIF(الإجابات!$BB$4:$BB$303,"حسب سعر الشراء + ربح ثابت")</f>
        <v>0</v>
      </c>
      <c r="C195" s="10">
        <f>IFERROR(B195/$B$199,0)</f>
        <v>0</v>
      </c>
    </row>
    <row r="196" spans="1:3">
      <c r="A196" s="6" t="s">
        <v>273</v>
      </c>
      <c r="B196" s="8">
        <f>COUNTIF(الإجابات!$BB$4:$BB$303,"حسب أسعار الجيران")</f>
        <v>0</v>
      </c>
      <c r="C196" s="10">
        <f>IFERROR(B196/$B$199,0)</f>
        <v>0</v>
      </c>
    </row>
    <row r="197" spans="1:3">
      <c r="A197" s="6" t="s">
        <v>274</v>
      </c>
      <c r="B197" s="8">
        <f>COUNTIF(الإجابات!$BB$4:$BB$303,"حسب سعر الصرف (الدولار)")</f>
        <v>0</v>
      </c>
      <c r="C197" s="10">
        <f>IFERROR(B197/$B$199,0)</f>
        <v>0</v>
      </c>
    </row>
    <row r="198" spans="1:3">
      <c r="A198" s="6" t="s">
        <v>275</v>
      </c>
      <c r="B198" s="8">
        <f>COUNTIF(الإجابات!$BB$4:$BB$303,"حسب الزبون")</f>
        <v>0</v>
      </c>
      <c r="C198" s="10">
        <f>IFERROR(B198/$B$199,0)</f>
        <v>0</v>
      </c>
    </row>
    <row r="199" spans="1:3">
      <c r="A199" s="13" t="s">
        <v>221</v>
      </c>
      <c r="B199" s="8">
        <f>COUNTA(الإجابات!$BB$4:$BB$303)</f>
        <v>0</v>
      </c>
    </row>
    <row r="200" ht="24" customHeight="1" spans="1:3">
      <c r="A200" s="5" t="s">
        <v>37</v>
      </c>
    </row>
    <row r="201" spans="1:3">
      <c r="A201" s="9" t="s">
        <v>215</v>
      </c>
      <c r="B201" s="9" t="s">
        <v>216</v>
      </c>
      <c r="C201" s="9" t="s">
        <v>217</v>
      </c>
    </row>
    <row r="202" spans="1:3">
      <c r="A202" s="6" t="s">
        <v>276</v>
      </c>
      <c r="B202" s="8">
        <f>COUNTIF(الإجابات!$BC$4:$BC$303,"لا أمانع")</f>
        <v>0</v>
      </c>
      <c r="C202" s="10">
        <f>IFERROR(B202/$B$205,0)</f>
        <v>0</v>
      </c>
    </row>
    <row r="203" spans="1:3">
      <c r="A203" s="6" t="s">
        <v>277</v>
      </c>
      <c r="B203" s="8">
        <f>COUNTIF(الإجابات!$BC$4:$BC$303,"أمانع قليلًا")</f>
        <v>0</v>
      </c>
      <c r="C203" s="10">
        <f>IFERROR(B203/$B$205,0)</f>
        <v>0</v>
      </c>
    </row>
    <row r="204" spans="1:3">
      <c r="A204" s="6" t="s">
        <v>182</v>
      </c>
      <c r="B204" s="8">
        <f>COUNTIF(الإجابات!$BC$4:$BC$303,"أمانع جدًا")</f>
        <v>0</v>
      </c>
      <c r="C204" s="10">
        <f>IFERROR(B204/$B$205,0)</f>
        <v>0</v>
      </c>
    </row>
    <row r="205" spans="1:3">
      <c r="A205" s="13" t="s">
        <v>221</v>
      </c>
      <c r="B205" s="8">
        <f>COUNTA(الإجابات!$BC$4:$BC$303)</f>
        <v>0</v>
      </c>
    </row>
    <row r="206" ht="24" customHeight="1" spans="1:3">
      <c r="A206" s="5" t="s">
        <v>38</v>
      </c>
    </row>
    <row r="207" spans="1:3">
      <c r="A207" s="4" t="s">
        <v>278</v>
      </c>
    </row>
    <row r="208" spans="1:3">
      <c r="A208" s="9" t="s">
        <v>279</v>
      </c>
      <c r="B208" s="9" t="s">
        <v>280</v>
      </c>
      <c r="C208" s="9" t="s">
        <v>281</v>
      </c>
    </row>
    <row r="209" spans="1:3">
      <c r="A209" s="6" t="s">
        <v>282</v>
      </c>
      <c r="B209" s="10" t="str">
        <f>IFERROR(AVERAGE(الإجابات!$BE$4:$BE$303)/100,"—")</f>
        <v>—</v>
      </c>
      <c r="C209" s="8">
        <f>COUNTIF(الإجابات!$BE$4:$BE$303,"&gt;0")</f>
        <v>0</v>
      </c>
    </row>
    <row r="210" spans="1:3">
      <c r="A210" s="6" t="s">
        <v>118</v>
      </c>
      <c r="B210" s="10" t="str">
        <f>IFERROR(AVERAGE(الإجابات!$BF$4:$BF$303)/100,"—")</f>
        <v>—</v>
      </c>
      <c r="C210" s="8">
        <f>COUNTIF(الإجابات!$BF$4:$BF$303,"&gt;0")</f>
        <v>0</v>
      </c>
    </row>
    <row r="211" spans="1:3">
      <c r="A211" s="6" t="s">
        <v>283</v>
      </c>
      <c r="B211" s="10" t="str">
        <f>IFERROR(AVERAGE(الإجابات!$BG$4:$BG$303)/100,"—")</f>
        <v>—</v>
      </c>
      <c r="C211" s="8">
        <f>COUNTIF(الإجابات!$BG$4:$BG$303,"&gt;0")</f>
        <v>0</v>
      </c>
    </row>
    <row r="212" spans="1:3">
      <c r="A212" s="6" t="s">
        <v>284</v>
      </c>
      <c r="B212" s="10" t="str">
        <f>IFERROR(AVERAGE(الإجابات!$BH$4:$BH$303)/100,"—")</f>
        <v>—</v>
      </c>
      <c r="C212" s="8">
        <f>COUNTIF(الإجابات!$BH$4:$BH$303,"&gt;0")</f>
        <v>0</v>
      </c>
    </row>
    <row r="213" ht="24" customHeight="1" spans="1:3">
      <c r="A213" s="5" t="s">
        <v>39</v>
      </c>
    </row>
    <row r="214" spans="1:3">
      <c r="A214" s="4" t="s">
        <v>245</v>
      </c>
    </row>
    <row r="215" spans="1:3">
      <c r="A215" s="9" t="s">
        <v>215</v>
      </c>
      <c r="B215" s="9" t="s">
        <v>216</v>
      </c>
      <c r="C215" s="9" t="s">
        <v>212</v>
      </c>
    </row>
    <row r="216" spans="1:3">
      <c r="A216" s="6" t="s">
        <v>110</v>
      </c>
      <c r="B216" s="8">
        <f>COUNTIF(الإجابات!$BI$4:$BI$303,1)</f>
        <v>0</v>
      </c>
      <c r="C216" s="10">
        <f>IFERROR(B216/$B$4,0)</f>
        <v>0</v>
      </c>
    </row>
    <row r="217" spans="1:3">
      <c r="A217" s="6" t="s">
        <v>111</v>
      </c>
      <c r="B217" s="8">
        <f>COUNTIF(الإجابات!$BJ$4:$BJ$303,1)</f>
        <v>0</v>
      </c>
      <c r="C217" s="10">
        <f>IFERROR(B217/$B$4,0)</f>
        <v>0</v>
      </c>
    </row>
    <row r="218" spans="1:3">
      <c r="A218" s="6" t="s">
        <v>112</v>
      </c>
      <c r="B218" s="8">
        <f>COUNTIF(الإجابات!$BK$4:$BK$303,1)</f>
        <v>0</v>
      </c>
      <c r="C218" s="10">
        <f>IFERROR(B218/$B$4,0)</f>
        <v>0</v>
      </c>
    </row>
    <row r="219" spans="1:3">
      <c r="A219" s="6" t="s">
        <v>113</v>
      </c>
      <c r="B219" s="8">
        <f>COUNTIF(الإجابات!$BL$4:$BL$303,1)</f>
        <v>0</v>
      </c>
      <c r="C219" s="10">
        <f>IFERROR(B219/$B$4,0)</f>
        <v>0</v>
      </c>
    </row>
    <row r="220" spans="1:3">
      <c r="A220" s="6" t="s">
        <v>114</v>
      </c>
      <c r="B220" s="8">
        <f>COUNTIF(الإجابات!$BM$4:$BM$303,1)</f>
        <v>0</v>
      </c>
      <c r="C220" s="10">
        <f>IFERROR(B220/$B$4,0)</f>
        <v>0</v>
      </c>
    </row>
    <row r="221" spans="1:3">
      <c r="A221" s="6" t="s">
        <v>246</v>
      </c>
      <c r="B221" s="8">
        <f>COUNTA(الإجابات!$BN$4:$BN$303)</f>
        <v>0</v>
      </c>
    </row>
    <row r="222" ht="24" customHeight="1" spans="1:3">
      <c r="A222" s="5" t="s">
        <v>40</v>
      </c>
    </row>
    <row r="223" spans="1:3">
      <c r="A223" s="9" t="s">
        <v>215</v>
      </c>
      <c r="B223" s="9" t="s">
        <v>216</v>
      </c>
      <c r="C223" s="9" t="s">
        <v>217</v>
      </c>
    </row>
    <row r="224" spans="1:3">
      <c r="A224" s="6" t="s">
        <v>285</v>
      </c>
      <c r="B224" s="8">
        <f>COUNTIF(الإجابات!$BO$4:$BO$303,"لا أبيع بالدين")</f>
        <v>0</v>
      </c>
      <c r="C224" s="10">
        <f>IFERROR(B224/$B$227,0)</f>
        <v>0</v>
      </c>
    </row>
    <row r="225" spans="1:3">
      <c r="A225" s="6" t="s">
        <v>286</v>
      </c>
      <c r="B225" s="8">
        <f>COUNTIF(الإجابات!$BO$4:$BO$303,"أبيع ولا مشاكل")</f>
        <v>0</v>
      </c>
      <c r="C225" s="10">
        <f>IFERROR(B225/$B$227,0)</f>
        <v>0</v>
      </c>
    </row>
    <row r="226" spans="1:3">
      <c r="A226" s="6" t="s">
        <v>183</v>
      </c>
      <c r="B226" s="8">
        <f>COUNTIF(الإجابات!$BO$4:$BO$303,"أبيع وأجد صعوبة في التحصيل")</f>
        <v>0</v>
      </c>
      <c r="C226" s="10">
        <f>IFERROR(B226/$B$227,0)</f>
        <v>0</v>
      </c>
    </row>
    <row r="227" spans="1:3">
      <c r="A227" s="13" t="s">
        <v>221</v>
      </c>
      <c r="B227" s="8">
        <f>COUNTA(الإجابات!$BO$4:$BO$303)</f>
        <v>0</v>
      </c>
    </row>
    <row r="228" ht="24" customHeight="1" spans="1:3">
      <c r="A228" s="5" t="s">
        <v>41</v>
      </c>
    </row>
    <row r="229" spans="1:3">
      <c r="A229" s="9" t="s">
        <v>215</v>
      </c>
      <c r="B229" s="9" t="s">
        <v>216</v>
      </c>
      <c r="C229" s="9" t="s">
        <v>217</v>
      </c>
    </row>
    <row r="230" spans="1:3">
      <c r="A230" s="6" t="s">
        <v>287</v>
      </c>
      <c r="B230" s="8">
        <f>COUNTIF(الإجابات!$BP$4:$BP$303,"دائمًا")</f>
        <v>0</v>
      </c>
      <c r="C230" s="10">
        <f>IFERROR(B230/$B$233,0)</f>
        <v>0</v>
      </c>
    </row>
    <row r="231" spans="1:3">
      <c r="A231" s="6" t="s">
        <v>180</v>
      </c>
      <c r="B231" s="8">
        <f>COUNTIF(الإجابات!$BP$4:$BP$303,"أحيانًا")</f>
        <v>0</v>
      </c>
      <c r="C231" s="10">
        <f>IFERROR(B231/$B$233,0)</f>
        <v>0</v>
      </c>
    </row>
    <row r="232" spans="1:3">
      <c r="A232" s="6" t="s">
        <v>178</v>
      </c>
      <c r="B232" s="8">
        <f>COUNTIF(الإجابات!$BP$4:$BP$303,"نادرًا")</f>
        <v>0</v>
      </c>
      <c r="C232" s="10">
        <f>IFERROR(B232/$B$233,0)</f>
        <v>0</v>
      </c>
    </row>
    <row r="233" spans="1:3">
      <c r="A233" s="13" t="s">
        <v>221</v>
      </c>
      <c r="B233" s="8">
        <f>COUNTA(الإجابات!$BP$4:$BP$303)</f>
        <v>0</v>
      </c>
    </row>
    <row r="234" ht="24" customHeight="1" spans="1:3">
      <c r="A234" s="5" t="s">
        <v>42</v>
      </c>
    </row>
    <row r="235" spans="1:3">
      <c r="A235" s="9" t="s">
        <v>215</v>
      </c>
      <c r="B235" s="9" t="s">
        <v>216</v>
      </c>
      <c r="C235" s="9" t="s">
        <v>217</v>
      </c>
    </row>
    <row r="236" spans="1:3">
      <c r="A236" s="6" t="s">
        <v>288</v>
      </c>
      <c r="B236" s="8">
        <f>COUNTIF(الإجابات!$BQ$4:$BQ$303,"فني يعمل معي")</f>
        <v>0</v>
      </c>
      <c r="C236" s="10">
        <f>IFERROR(B236/$B$240,0)</f>
        <v>0</v>
      </c>
    </row>
    <row r="237" spans="1:3">
      <c r="A237" s="6" t="s">
        <v>184</v>
      </c>
      <c r="B237" s="8">
        <f>COUNTIF(الإجابات!$BQ$4:$BQ$303,"فني في الشارع أتعامل معه")</f>
        <v>0</v>
      </c>
      <c r="C237" s="10">
        <f>IFERROR(B237/$B$240,0)</f>
        <v>0</v>
      </c>
    </row>
    <row r="238" spans="1:3">
      <c r="A238" s="6" t="s">
        <v>289</v>
      </c>
      <c r="B238" s="8">
        <f>COUNTIF(الإجابات!$BQ$4:$BQ$303,"الزبون يتصرف بنفسه")</f>
        <v>0</v>
      </c>
      <c r="C238" s="10">
        <f>IFERROR(B238/$B$240,0)</f>
        <v>0</v>
      </c>
    </row>
    <row r="239" spans="1:3">
      <c r="A239" s="6" t="s">
        <v>250</v>
      </c>
      <c r="B239" s="8">
        <f>COUNTIF(الإجابات!$BQ$4:$BQ$303,"لا أعرف")</f>
        <v>0</v>
      </c>
      <c r="C239" s="10">
        <f>IFERROR(B239/$B$240,0)</f>
        <v>0</v>
      </c>
    </row>
    <row r="240" spans="1:3">
      <c r="A240" s="13" t="s">
        <v>221</v>
      </c>
      <c r="B240" s="8">
        <f>COUNTA(الإجابات!$BQ$4:$BQ$303)</f>
        <v>0</v>
      </c>
    </row>
    <row r="241" ht="24" customHeight="1" spans="1:3">
      <c r="A241" s="5" t="s">
        <v>43</v>
      </c>
    </row>
    <row r="242" spans="1:3">
      <c r="A242" s="9" t="s">
        <v>215</v>
      </c>
      <c r="B242" s="9" t="s">
        <v>216</v>
      </c>
      <c r="C242" s="9" t="s">
        <v>217</v>
      </c>
    </row>
    <row r="243" spans="1:3">
      <c r="A243" s="6" t="s">
        <v>185</v>
      </c>
      <c r="B243" s="8">
        <f>COUNTIF(الإجابات!$BR$4:$BR$303,"كثيرًا")</f>
        <v>0</v>
      </c>
      <c r="C243" s="10">
        <f>IFERROR(B243/$B$246,0)</f>
        <v>0</v>
      </c>
    </row>
    <row r="244" spans="1:3">
      <c r="A244" s="6" t="s">
        <v>180</v>
      </c>
      <c r="B244" s="8">
        <f>COUNTIF(الإجابات!$BR$4:$BR$303,"أحيانًا")</f>
        <v>0</v>
      </c>
      <c r="C244" s="10">
        <f>IFERROR(B244/$B$246,0)</f>
        <v>0</v>
      </c>
    </row>
    <row r="245" spans="1:3">
      <c r="A245" s="6" t="s">
        <v>178</v>
      </c>
      <c r="B245" s="8">
        <f>COUNTIF(الإجابات!$BR$4:$BR$303,"نادرًا")</f>
        <v>0</v>
      </c>
      <c r="C245" s="10">
        <f>IFERROR(B245/$B$246,0)</f>
        <v>0</v>
      </c>
    </row>
    <row r="246" spans="1:3">
      <c r="A246" s="13" t="s">
        <v>221</v>
      </c>
      <c r="B246" s="8">
        <f>COUNTA(الإجابات!$BR$4:$BR$303)</f>
        <v>0</v>
      </c>
    </row>
    <row r="247" ht="24" customHeight="1" spans="1:3">
      <c r="A247" s="5" t="s">
        <v>44</v>
      </c>
    </row>
    <row r="248" spans="1:3">
      <c r="A248" s="4" t="s">
        <v>290</v>
      </c>
    </row>
    <row r="249" spans="1:3">
      <c r="A249" s="9" t="s">
        <v>229</v>
      </c>
      <c r="B249" s="9" t="s">
        <v>216</v>
      </c>
    </row>
    <row r="250" spans="1:3">
      <c r="A250" s="6" t="s">
        <v>221</v>
      </c>
      <c r="B250" s="8">
        <f>COUNTA(الإجابات!$BS$4:$BS$303)</f>
        <v>0</v>
      </c>
    </row>
    <row r="251" ht="24" customHeight="1" spans="1:3">
      <c r="A251" s="5" t="s">
        <v>45</v>
      </c>
    </row>
    <row r="252" spans="1:3">
      <c r="A252" s="9" t="s">
        <v>215</v>
      </c>
      <c r="B252" s="9" t="s">
        <v>216</v>
      </c>
      <c r="C252" s="9" t="s">
        <v>217</v>
      </c>
    </row>
    <row r="253" spans="1:3">
      <c r="A253" s="6" t="s">
        <v>291</v>
      </c>
      <c r="B253" s="8">
        <f>COUNTIF(الإجابات!$BT$4:$BT$303,"هاتف ذكي أندرويد")</f>
        <v>0</v>
      </c>
      <c r="C253" s="10">
        <f>IFERROR(B253/$B$256,0)</f>
        <v>0</v>
      </c>
    </row>
    <row r="254" spans="1:3">
      <c r="A254" s="6" t="s">
        <v>292</v>
      </c>
      <c r="B254" s="8">
        <f>COUNTIF(الإجابات!$BT$4:$BT$303,"آيفون")</f>
        <v>0</v>
      </c>
      <c r="C254" s="10">
        <f>IFERROR(B254/$B$256,0)</f>
        <v>0</v>
      </c>
    </row>
    <row r="255" spans="1:3">
      <c r="A255" s="6" t="s">
        <v>187</v>
      </c>
      <c r="B255" s="8">
        <f>COUNTIF(الإجابات!$BT$4:$BT$303,"هاتف عادي (غير ذكي)")</f>
        <v>0</v>
      </c>
      <c r="C255" s="10">
        <f>IFERROR(B255/$B$256,0)</f>
        <v>0</v>
      </c>
    </row>
    <row r="256" spans="1:3">
      <c r="A256" s="13" t="s">
        <v>221</v>
      </c>
      <c r="B256" s="8">
        <f>COUNTA(الإجابات!$BT$4:$BT$303)</f>
        <v>0</v>
      </c>
    </row>
    <row r="257" ht="24" customHeight="1" spans="1:3">
      <c r="A257" s="5" t="s">
        <v>46</v>
      </c>
    </row>
    <row r="258" spans="1:3">
      <c r="A258" s="9" t="s">
        <v>215</v>
      </c>
      <c r="B258" s="9" t="s">
        <v>216</v>
      </c>
      <c r="C258" s="9" t="s">
        <v>217</v>
      </c>
    </row>
    <row r="259" spans="1:3">
      <c r="A259" s="6" t="s">
        <v>293</v>
      </c>
      <c r="B259" s="8">
        <f>COUNTIF(الإجابات!$BU$4:$BU$303,"جيدة أغلب الوقت")</f>
        <v>0</v>
      </c>
      <c r="C259" s="10">
        <f>IFERROR(B259/$B$262,0)</f>
        <v>0</v>
      </c>
    </row>
    <row r="260" spans="1:3">
      <c r="A260" s="6" t="s">
        <v>294</v>
      </c>
      <c r="B260" s="8">
        <f>COUNTIF(الإجابات!$BU$4:$BU$303,"متقطعة")</f>
        <v>0</v>
      </c>
      <c r="C260" s="10">
        <f>IFERROR(B260/$B$262,0)</f>
        <v>0</v>
      </c>
    </row>
    <row r="261" spans="1:3">
      <c r="A261" s="6" t="s">
        <v>188</v>
      </c>
      <c r="B261" s="8">
        <f>COUNTIF(الإجابات!$BU$4:$BU$303,"ضعيفة جدًا")</f>
        <v>0</v>
      </c>
      <c r="C261" s="10">
        <f>IFERROR(B261/$B$262,0)</f>
        <v>0</v>
      </c>
    </row>
    <row r="262" spans="1:3">
      <c r="A262" s="13" t="s">
        <v>221</v>
      </c>
      <c r="B262" s="8">
        <f>COUNTA(الإجابات!$BU$4:$BU$303)</f>
        <v>0</v>
      </c>
    </row>
    <row r="263" ht="24" customHeight="1" spans="1:3">
      <c r="A263" s="5" t="s">
        <v>47</v>
      </c>
    </row>
    <row r="264" spans="1:3">
      <c r="A264" s="4" t="s">
        <v>245</v>
      </c>
    </row>
    <row r="265" spans="1:3">
      <c r="A265" s="9" t="s">
        <v>215</v>
      </c>
      <c r="B265" s="9" t="s">
        <v>216</v>
      </c>
      <c r="C265" s="9" t="s">
        <v>212</v>
      </c>
    </row>
    <row r="266" spans="1:3">
      <c r="A266" s="6" t="s">
        <v>116</v>
      </c>
      <c r="B266" s="8">
        <f>COUNTIF(الإجابات!$BV$4:$BV$303,1)</f>
        <v>0</v>
      </c>
      <c r="C266" s="10">
        <f t="shared" ref="C266:C271" si="5">IFERROR(B266/$B$4,0)</f>
        <v>0</v>
      </c>
    </row>
    <row r="267" spans="1:3">
      <c r="A267" s="6" t="s">
        <v>117</v>
      </c>
      <c r="B267" s="8">
        <f>COUNTIF(الإجابات!$BW$4:$BW$303,1)</f>
        <v>0</v>
      </c>
      <c r="C267" s="10">
        <f t="shared" si="5"/>
        <v>0</v>
      </c>
    </row>
    <row r="268" spans="1:3">
      <c r="A268" s="6" t="s">
        <v>118</v>
      </c>
      <c r="B268" s="8">
        <f>COUNTIF(الإجابات!$BX$4:$BX$303,1)</f>
        <v>0</v>
      </c>
      <c r="C268" s="10">
        <f t="shared" si="5"/>
        <v>0</v>
      </c>
    </row>
    <row r="269" spans="1:3">
      <c r="A269" s="6" t="s">
        <v>119</v>
      </c>
      <c r="B269" s="8">
        <f>COUNTIF(الإجابات!$BY$4:$BY$303,1)</f>
        <v>0</v>
      </c>
      <c r="C269" s="10">
        <f t="shared" si="5"/>
        <v>0</v>
      </c>
    </row>
    <row r="270" spans="1:3">
      <c r="A270" s="6" t="s">
        <v>120</v>
      </c>
      <c r="B270" s="8">
        <f>COUNTIF(الإجابات!$BZ$4:$BZ$303,1)</f>
        <v>0</v>
      </c>
      <c r="C270" s="10">
        <f t="shared" si="5"/>
        <v>0</v>
      </c>
    </row>
    <row r="271" spans="1:3">
      <c r="A271" s="6" t="s">
        <v>121</v>
      </c>
      <c r="B271" s="8">
        <f>COUNTIF(الإجابات!$CA$4:$CA$303,1)</f>
        <v>0</v>
      </c>
      <c r="C271" s="10">
        <f t="shared" si="5"/>
        <v>0</v>
      </c>
    </row>
    <row r="272" ht="24" customHeight="1" spans="1:3">
      <c r="A272" s="5" t="s">
        <v>48</v>
      </c>
    </row>
    <row r="273" spans="1:3">
      <c r="A273" s="9" t="s">
        <v>215</v>
      </c>
      <c r="B273" s="9" t="s">
        <v>216</v>
      </c>
      <c r="C273" s="9" t="s">
        <v>217</v>
      </c>
    </row>
    <row r="274" spans="1:3">
      <c r="A274" s="6" t="s">
        <v>295</v>
      </c>
      <c r="B274" s="8">
        <f>COUNTIF(الإجابات!$CB$4:$CB$303,"نعم وأستخدمه")</f>
        <v>0</v>
      </c>
      <c r="C274" s="10">
        <f>IFERROR(B274/$B$277,0)</f>
        <v>0</v>
      </c>
    </row>
    <row r="275" spans="1:3">
      <c r="A275" s="6" t="s">
        <v>296</v>
      </c>
      <c r="B275" s="8">
        <f>COUNTIF(الإجابات!$CB$4:$CB$303,"عندي لكن لا أستخدمه")</f>
        <v>0</v>
      </c>
      <c r="C275" s="10">
        <f>IFERROR(B275/$B$277,0)</f>
        <v>0</v>
      </c>
    </row>
    <row r="276" spans="1:3">
      <c r="A276" s="6" t="s">
        <v>189</v>
      </c>
      <c r="B276" s="8">
        <f>COUNTIF(الإجابات!$CB$4:$CB$303,"لا")</f>
        <v>0</v>
      </c>
      <c r="C276" s="10">
        <f>IFERROR(B276/$B$277,0)</f>
        <v>0</v>
      </c>
    </row>
    <row r="277" spans="1:3">
      <c r="A277" s="13" t="s">
        <v>221</v>
      </c>
      <c r="B277" s="8">
        <f>COUNTA(الإجابات!$CB$4:$CB$303)</f>
        <v>0</v>
      </c>
    </row>
    <row r="278" ht="24" customHeight="1" spans="1:3">
      <c r="A278" s="5" t="s">
        <v>49</v>
      </c>
    </row>
    <row r="279" spans="1:3">
      <c r="A279" s="9" t="s">
        <v>297</v>
      </c>
      <c r="B279" s="9" t="s">
        <v>216</v>
      </c>
      <c r="C279" s="9" t="s">
        <v>217</v>
      </c>
    </row>
    <row r="280" spans="1:3">
      <c r="A280" s="6" t="s">
        <v>242</v>
      </c>
      <c r="B280" s="8">
        <f>COUNTIF(الإجابات!$CC$4:$CC$303,1)</f>
        <v>0</v>
      </c>
      <c r="C280" s="10">
        <f>IFERROR(B280/$B$285,0)</f>
        <v>0</v>
      </c>
    </row>
    <row r="281" spans="1:3">
      <c r="A281" s="6" t="s">
        <v>243</v>
      </c>
      <c r="B281" s="8">
        <f>COUNTIF(الإجابات!$CC$4:$CC$303,2)</f>
        <v>0</v>
      </c>
      <c r="C281" s="10">
        <f>IFERROR(B281/$B$285,0)</f>
        <v>0</v>
      </c>
    </row>
    <row r="282" spans="1:3">
      <c r="A282" s="6" t="s">
        <v>298</v>
      </c>
      <c r="B282" s="8">
        <f>COUNTIF(الإجابات!$CC$4:$CC$303,3)</f>
        <v>0</v>
      </c>
      <c r="C282" s="10">
        <f>IFERROR(B282/$B$285,0)</f>
        <v>0</v>
      </c>
    </row>
    <row r="283" spans="1:3">
      <c r="A283" s="6" t="s">
        <v>299</v>
      </c>
      <c r="B283" s="8">
        <f>COUNTIF(الإجابات!$CC$4:$CC$303,4)</f>
        <v>0</v>
      </c>
      <c r="C283" s="10">
        <f>IFERROR(B283/$B$285,0)</f>
        <v>0</v>
      </c>
    </row>
    <row r="284" spans="1:3">
      <c r="A284" s="6" t="s">
        <v>300</v>
      </c>
      <c r="B284" s="8">
        <f>COUNTIF(الإجابات!$CC$4:$CC$303,5)</f>
        <v>0</v>
      </c>
      <c r="C284" s="10">
        <f>IFERROR(B284/$B$285,0)</f>
        <v>0</v>
      </c>
    </row>
    <row r="285" spans="1:3">
      <c r="A285" s="6" t="s">
        <v>221</v>
      </c>
      <c r="B285" s="8">
        <f>COUNT(الإجابات!$CC$4:$CC$303)</f>
        <v>0</v>
      </c>
    </row>
    <row r="286" spans="1:3">
      <c r="A286" s="6" t="s">
        <v>301</v>
      </c>
      <c r="B286" s="15" t="str">
        <f>IFERROR(AVERAGE(الإجابات!$CC$4:$CC$303),"—")</f>
        <v>—</v>
      </c>
    </row>
    <row r="287" ht="24" customHeight="1" spans="1:3">
      <c r="A287" s="5" t="s">
        <v>50</v>
      </c>
    </row>
    <row r="288" spans="1:3">
      <c r="A288" s="9" t="s">
        <v>215</v>
      </c>
      <c r="B288" s="9" t="s">
        <v>216</v>
      </c>
      <c r="C288" s="9" t="s">
        <v>217</v>
      </c>
    </row>
    <row r="289" spans="1:3">
      <c r="A289" s="6" t="s">
        <v>302</v>
      </c>
      <c r="B289" s="8">
        <f>COUNTIF(الإجابات!$CD$4:$CD$303,"أنا بنفسي")</f>
        <v>0</v>
      </c>
      <c r="C289" s="10">
        <f>IFERROR(B289/$B$292,0)</f>
        <v>0</v>
      </c>
    </row>
    <row r="290" spans="1:3">
      <c r="A290" s="6" t="s">
        <v>303</v>
      </c>
      <c r="B290" s="8">
        <f>COUNTIF(الإجابات!$CD$4:$CD$303,"ابني أو قريبي")</f>
        <v>0</v>
      </c>
      <c r="C290" s="10">
        <f>IFERROR(B290/$B$292,0)</f>
        <v>0</v>
      </c>
    </row>
    <row r="291" spans="1:3">
      <c r="A291" s="6" t="s">
        <v>190</v>
      </c>
      <c r="B291" s="8">
        <f>COUNTIF(الإجابات!$CD$4:$CD$303,"موظف في المحل")</f>
        <v>0</v>
      </c>
      <c r="C291" s="10">
        <f>IFERROR(B291/$B$292,0)</f>
        <v>0</v>
      </c>
    </row>
    <row r="292" spans="1:3">
      <c r="A292" s="13" t="s">
        <v>221</v>
      </c>
      <c r="B292" s="8">
        <f>COUNTA(الإجابات!$CD$4:$CD$303)</f>
        <v>0</v>
      </c>
    </row>
    <row r="293" ht="24" customHeight="1" spans="1:3">
      <c r="A293" s="5" t="s">
        <v>51</v>
      </c>
    </row>
    <row r="294" spans="1:3">
      <c r="A294" s="4" t="s">
        <v>290</v>
      </c>
    </row>
    <row r="295" spans="1:3">
      <c r="A295" s="9" t="s">
        <v>229</v>
      </c>
      <c r="B295" s="9" t="s">
        <v>216</v>
      </c>
    </row>
    <row r="296" spans="1:3">
      <c r="A296" s="6" t="s">
        <v>221</v>
      </c>
      <c r="B296" s="8">
        <f>COUNTA(الإجابات!$CE$4:$CE$303)</f>
        <v>0</v>
      </c>
    </row>
    <row r="297" ht="24" customHeight="1" spans="1:3">
      <c r="A297" s="5" t="s">
        <v>53</v>
      </c>
    </row>
    <row r="298" spans="1:3">
      <c r="A298" s="4" t="s">
        <v>290</v>
      </c>
    </row>
    <row r="299" spans="1:3">
      <c r="A299" s="9" t="s">
        <v>229</v>
      </c>
      <c r="B299" s="9" t="s">
        <v>216</v>
      </c>
    </row>
    <row r="300" spans="1:3">
      <c r="A300" s="6" t="s">
        <v>221</v>
      </c>
      <c r="B300" s="8">
        <f>COUNTA(الإجابات!$CS$4:$CS$303)</f>
        <v>0</v>
      </c>
    </row>
    <row r="301" ht="24" customHeight="1" spans="1:3">
      <c r="A301" s="5" t="s">
        <v>54</v>
      </c>
    </row>
    <row r="302" spans="1:3">
      <c r="A302" s="4" t="s">
        <v>290</v>
      </c>
    </row>
    <row r="303" spans="1:3">
      <c r="A303" s="9" t="s">
        <v>229</v>
      </c>
      <c r="B303" s="9" t="s">
        <v>216</v>
      </c>
    </row>
    <row r="304" spans="1:3">
      <c r="A304" s="6" t="s">
        <v>221</v>
      </c>
      <c r="B304" s="8">
        <f>COUNTA(الإجابات!$CT$4:$CT$303)</f>
        <v>0</v>
      </c>
    </row>
    <row r="305" ht="24" customHeight="1" spans="1:6">
      <c r="A305" s="5" t="s">
        <v>55</v>
      </c>
    </row>
    <row r="306" spans="1:6">
      <c r="A306" s="9" t="s">
        <v>297</v>
      </c>
      <c r="B306" s="9" t="s">
        <v>216</v>
      </c>
      <c r="C306" s="9" t="s">
        <v>217</v>
      </c>
    </row>
    <row r="307" spans="1:6">
      <c r="A307" s="6" t="s">
        <v>242</v>
      </c>
      <c r="B307" s="8">
        <f>COUNTIF(الإجابات!$CU$4:$CU$303,1)</f>
        <v>0</v>
      </c>
      <c r="C307" s="10">
        <f>IFERROR(B307/$B$312,0)</f>
        <v>0</v>
      </c>
    </row>
    <row r="308" spans="1:6">
      <c r="A308" s="6" t="s">
        <v>243</v>
      </c>
      <c r="B308" s="8">
        <f>COUNTIF(الإجابات!$CU$4:$CU$303,2)</f>
        <v>0</v>
      </c>
      <c r="C308" s="10">
        <f>IFERROR(B308/$B$312,0)</f>
        <v>0</v>
      </c>
    </row>
    <row r="309" spans="1:6">
      <c r="A309" s="6" t="s">
        <v>298</v>
      </c>
      <c r="B309" s="8">
        <f>COUNTIF(الإجابات!$CU$4:$CU$303,3)</f>
        <v>0</v>
      </c>
      <c r="C309" s="10">
        <f>IFERROR(B309/$B$312,0)</f>
        <v>0</v>
      </c>
    </row>
    <row r="310" spans="1:6">
      <c r="A310" s="6" t="s">
        <v>299</v>
      </c>
      <c r="B310" s="8">
        <f>COUNTIF(الإجابات!$CU$4:$CU$303,4)</f>
        <v>0</v>
      </c>
      <c r="C310" s="10">
        <f>IFERROR(B310/$B$312,0)</f>
        <v>0</v>
      </c>
    </row>
    <row r="311" spans="1:6">
      <c r="A311" s="6" t="s">
        <v>300</v>
      </c>
      <c r="B311" s="8">
        <f>COUNTIF(الإجابات!$CU$4:$CU$303,5)</f>
        <v>0</v>
      </c>
      <c r="C311" s="10">
        <f>IFERROR(B311/$B$312,0)</f>
        <v>0</v>
      </c>
    </row>
    <row r="312" spans="1:6">
      <c r="A312" s="6" t="s">
        <v>221</v>
      </c>
      <c r="B312" s="8">
        <f>COUNT(الإجابات!$CU$4:$CU$303)</f>
        <v>0</v>
      </c>
    </row>
    <row r="313" spans="1:6">
      <c r="A313" s="6" t="s">
        <v>301</v>
      </c>
      <c r="B313" s="15" t="str">
        <f>IFERROR(AVERAGE(الإجابات!$CU$4:$CU$303),"—")</f>
        <v>—</v>
      </c>
    </row>
    <row r="314" ht="24" customHeight="1" spans="1:6">
      <c r="A314" s="5" t="s">
        <v>56</v>
      </c>
    </row>
    <row r="315" spans="1:6">
      <c r="A315" s="4" t="s">
        <v>304</v>
      </c>
    </row>
    <row r="316" spans="1:6">
      <c r="A316" s="9" t="s">
        <v>305</v>
      </c>
      <c r="B316" s="9" t="s">
        <v>306</v>
      </c>
      <c r="C316" s="9" t="s">
        <v>192</v>
      </c>
      <c r="D316" s="9" t="s">
        <v>191</v>
      </c>
      <c r="E316" s="9" t="s">
        <v>210</v>
      </c>
      <c r="F316" s="9" t="s">
        <v>307</v>
      </c>
    </row>
    <row r="317" spans="1:6">
      <c r="A317" s="6" t="s">
        <v>136</v>
      </c>
      <c r="B317" s="8">
        <f>COUNTIF(الإجابات!$CV$4:$CV$303,"مهمة جدًا")</f>
        <v>0</v>
      </c>
      <c r="C317" s="8">
        <f>COUNTIF(الإجابات!$CV$4:$CV$303,"مهمة")</f>
        <v>0</v>
      </c>
      <c r="D317" s="8">
        <f>COUNTIF(الإجابات!$CV$4:$CV$303,"غير مهمة")</f>
        <v>0</v>
      </c>
      <c r="E317" s="8">
        <f t="shared" ref="E317:E325" si="6">B317*2+C317</f>
        <v>0</v>
      </c>
      <c r="F317" s="10">
        <f>IFERROR(B317/COUNTA(الإجابات!$CV$4:$CV$303),0)</f>
        <v>0</v>
      </c>
    </row>
    <row r="318" spans="1:6">
      <c r="A318" s="6" t="s">
        <v>137</v>
      </c>
      <c r="B318" s="8">
        <f>COUNTIF(الإجابات!$CW$4:$CW$303,"مهمة جدًا")</f>
        <v>0</v>
      </c>
      <c r="C318" s="8">
        <f>COUNTIF(الإجابات!$CW$4:$CW$303,"مهمة")</f>
        <v>0</v>
      </c>
      <c r="D318" s="8">
        <f>COUNTIF(الإجابات!$CW$4:$CW$303,"غير مهمة")</f>
        <v>0</v>
      </c>
      <c r="E318" s="8">
        <f t="shared" si="6"/>
        <v>0</v>
      </c>
      <c r="F318" s="10">
        <f>IFERROR(B318/COUNTA(الإجابات!$CW$4:$CW$303),0)</f>
        <v>0</v>
      </c>
    </row>
    <row r="319" spans="1:6">
      <c r="A319" s="6" t="s">
        <v>138</v>
      </c>
      <c r="B319" s="8">
        <f>COUNTIF(الإجابات!$CX$4:$CX$303,"مهمة جدًا")</f>
        <v>0</v>
      </c>
      <c r="C319" s="8">
        <f>COUNTIF(الإجابات!$CX$4:$CX$303,"مهمة")</f>
        <v>0</v>
      </c>
      <c r="D319" s="8">
        <f>COUNTIF(الإجابات!$CX$4:$CX$303,"غير مهمة")</f>
        <v>0</v>
      </c>
      <c r="E319" s="8">
        <f t="shared" si="6"/>
        <v>0</v>
      </c>
      <c r="F319" s="10">
        <f>IFERROR(B319/COUNTA(الإجابات!$CX$4:$CX$303),0)</f>
        <v>0</v>
      </c>
    </row>
    <row r="320" spans="1:6">
      <c r="A320" s="6" t="s">
        <v>139</v>
      </c>
      <c r="B320" s="8">
        <f>COUNTIF(الإجابات!$CY$4:$CY$303,"مهمة جدًا")</f>
        <v>0</v>
      </c>
      <c r="C320" s="8">
        <f>COUNTIF(الإجابات!$CY$4:$CY$303,"مهمة")</f>
        <v>0</v>
      </c>
      <c r="D320" s="8">
        <f>COUNTIF(الإجابات!$CY$4:$CY$303,"غير مهمة")</f>
        <v>0</v>
      </c>
      <c r="E320" s="8">
        <f t="shared" si="6"/>
        <v>0</v>
      </c>
      <c r="F320" s="10">
        <f>IFERROR(B320/COUNTA(الإجابات!$CY$4:$CY$303),0)</f>
        <v>0</v>
      </c>
    </row>
    <row r="321" spans="1:6">
      <c r="A321" s="6" t="s">
        <v>140</v>
      </c>
      <c r="B321" s="8">
        <f>COUNTIF(الإجابات!$CZ$4:$CZ$303,"مهمة جدًا")</f>
        <v>0</v>
      </c>
      <c r="C321" s="8">
        <f>COUNTIF(الإجابات!$CZ$4:$CZ$303,"مهمة")</f>
        <v>0</v>
      </c>
      <c r="D321" s="8">
        <f>COUNTIF(الإجابات!$CZ$4:$CZ$303,"غير مهمة")</f>
        <v>0</v>
      </c>
      <c r="E321" s="8">
        <f t="shared" si="6"/>
        <v>0</v>
      </c>
      <c r="F321" s="10">
        <f>IFERROR(B321/COUNTA(الإجابات!$CZ$4:$CZ$303),0)</f>
        <v>0</v>
      </c>
    </row>
    <row r="322" spans="1:6">
      <c r="A322" s="6" t="s">
        <v>141</v>
      </c>
      <c r="B322" s="8">
        <f>COUNTIF(الإجابات!$DA$4:$DA$303,"مهمة جدًا")</f>
        <v>0</v>
      </c>
      <c r="C322" s="8">
        <f>COUNTIF(الإجابات!$DA$4:$DA$303,"مهمة")</f>
        <v>0</v>
      </c>
      <c r="D322" s="8">
        <f>COUNTIF(الإجابات!$DA$4:$DA$303,"غير مهمة")</f>
        <v>0</v>
      </c>
      <c r="E322" s="8">
        <f t="shared" si="6"/>
        <v>0</v>
      </c>
      <c r="F322" s="10">
        <f>IFERROR(B322/COUNTA(الإجابات!$DA$4:$DA$303),0)</f>
        <v>0</v>
      </c>
    </row>
    <row r="323" spans="1:6">
      <c r="A323" s="6" t="s">
        <v>142</v>
      </c>
      <c r="B323" s="8">
        <f>COUNTIF(الإجابات!$DB$4:$DB$303,"مهمة جدًا")</f>
        <v>0</v>
      </c>
      <c r="C323" s="8">
        <f>COUNTIF(الإجابات!$DB$4:$DB$303,"مهمة")</f>
        <v>0</v>
      </c>
      <c r="D323" s="8">
        <f>COUNTIF(الإجابات!$DB$4:$DB$303,"غير مهمة")</f>
        <v>0</v>
      </c>
      <c r="E323" s="8">
        <f t="shared" si="6"/>
        <v>0</v>
      </c>
      <c r="F323" s="10">
        <f>IFERROR(B323/COUNTA(الإجابات!$DB$4:$DB$303),0)</f>
        <v>0</v>
      </c>
    </row>
    <row r="324" spans="1:6">
      <c r="A324" s="6" t="s">
        <v>143</v>
      </c>
      <c r="B324" s="8">
        <f>COUNTIF(الإجابات!$DC$4:$DC$303,"مهمة جدًا")</f>
        <v>0</v>
      </c>
      <c r="C324" s="8">
        <f>COUNTIF(الإجابات!$DC$4:$DC$303,"مهمة")</f>
        <v>0</v>
      </c>
      <c r="D324" s="8">
        <f>COUNTIF(الإجابات!$DC$4:$DC$303,"غير مهمة")</f>
        <v>0</v>
      </c>
      <c r="E324" s="8">
        <f t="shared" si="6"/>
        <v>0</v>
      </c>
      <c r="F324" s="10">
        <f>IFERROR(B324/COUNTA(الإجابات!$DC$4:$DC$303),0)</f>
        <v>0</v>
      </c>
    </row>
    <row r="325" spans="1:6">
      <c r="A325" s="6" t="s">
        <v>144</v>
      </c>
      <c r="B325" s="8">
        <f>COUNTIF(الإجابات!$DD$4:$DD$303,"مهمة جدًا")</f>
        <v>0</v>
      </c>
      <c r="C325" s="8">
        <f>COUNTIF(الإجابات!$DD$4:$DD$303,"مهمة")</f>
        <v>0</v>
      </c>
      <c r="D325" s="8">
        <f>COUNTIF(الإجابات!$DD$4:$DD$303,"غير مهمة")</f>
        <v>0</v>
      </c>
      <c r="E325" s="8">
        <f t="shared" si="6"/>
        <v>0</v>
      </c>
      <c r="F325" s="10">
        <f>IFERROR(B325/COUNTA(الإجابات!$DD$4:$DD$303),0)</f>
        <v>0</v>
      </c>
    </row>
    <row r="326" ht="24" customHeight="1" spans="1:6">
      <c r="A326" s="5" t="s">
        <v>57</v>
      </c>
    </row>
    <row r="327" spans="1:6">
      <c r="A327" s="4" t="s">
        <v>245</v>
      </c>
    </row>
    <row r="328" spans="1:6">
      <c r="A328" s="9" t="s">
        <v>215</v>
      </c>
      <c r="B328" s="9" t="s">
        <v>216</v>
      </c>
      <c r="C328" s="9" t="s">
        <v>212</v>
      </c>
    </row>
    <row r="329" spans="1:6">
      <c r="A329" s="6" t="s">
        <v>145</v>
      </c>
      <c r="B329" s="8">
        <f>COUNTIF(الإجابات!$DE$4:$DE$303,1)</f>
        <v>0</v>
      </c>
      <c r="C329" s="10">
        <f t="shared" ref="C329:C335" si="7">IFERROR(B329/$B$4,0)</f>
        <v>0</v>
      </c>
    </row>
    <row r="330" spans="1:6">
      <c r="A330" s="6" t="s">
        <v>146</v>
      </c>
      <c r="B330" s="8">
        <f>COUNTIF(الإجابات!$DF$4:$DF$303,1)</f>
        <v>0</v>
      </c>
      <c r="C330" s="10">
        <f t="shared" si="7"/>
        <v>0</v>
      </c>
    </row>
    <row r="331" spans="1:6">
      <c r="A331" s="6" t="s">
        <v>147</v>
      </c>
      <c r="B331" s="8">
        <f>COUNTIF(الإجابات!$DG$4:$DG$303,1)</f>
        <v>0</v>
      </c>
      <c r="C331" s="10">
        <f t="shared" si="7"/>
        <v>0</v>
      </c>
    </row>
    <row r="332" spans="1:6">
      <c r="A332" s="6" t="s">
        <v>148</v>
      </c>
      <c r="B332" s="8">
        <f>COUNTIF(الإجابات!$DH$4:$DH$303,1)</f>
        <v>0</v>
      </c>
      <c r="C332" s="10">
        <f t="shared" si="7"/>
        <v>0</v>
      </c>
    </row>
    <row r="333" spans="1:6">
      <c r="A333" s="6" t="s">
        <v>149</v>
      </c>
      <c r="B333" s="8">
        <f>COUNTIF(الإجابات!$DI$4:$DI$303,1)</f>
        <v>0</v>
      </c>
      <c r="C333" s="10">
        <f t="shared" si="7"/>
        <v>0</v>
      </c>
    </row>
    <row r="334" spans="1:6">
      <c r="A334" s="6" t="s">
        <v>150</v>
      </c>
      <c r="B334" s="8">
        <f>COUNTIF(الإجابات!$DJ$4:$DJ$303,1)</f>
        <v>0</v>
      </c>
      <c r="C334" s="10">
        <f t="shared" si="7"/>
        <v>0</v>
      </c>
    </row>
    <row r="335" spans="1:6">
      <c r="A335" s="6" t="s">
        <v>121</v>
      </c>
      <c r="B335" s="8">
        <f>COUNTIF(الإجابات!$DK$4:$DK$303,1)</f>
        <v>0</v>
      </c>
      <c r="C335" s="10">
        <f t="shared" si="7"/>
        <v>0</v>
      </c>
    </row>
    <row r="336" spans="1:6">
      <c r="A336" s="6" t="s">
        <v>246</v>
      </c>
      <c r="B336" s="8">
        <f>COUNTA(الإجابات!$DL$4:$DL$303)</f>
        <v>0</v>
      </c>
    </row>
    <row r="337" ht="24" customHeight="1" spans="1:3">
      <c r="A337" s="5" t="s">
        <v>61</v>
      </c>
    </row>
    <row r="338" spans="1:3">
      <c r="A338" s="9" t="s">
        <v>215</v>
      </c>
      <c r="B338" s="9" t="s">
        <v>216</v>
      </c>
      <c r="C338" s="9" t="s">
        <v>217</v>
      </c>
    </row>
    <row r="339" spans="1:3">
      <c r="A339" s="6" t="s">
        <v>308</v>
      </c>
      <c r="B339" s="8">
        <f>COUNTIF(الإجابات!$DP$4:$DP$303,"نعم بالتأكيد")</f>
        <v>0</v>
      </c>
      <c r="C339" s="10">
        <f>IFERROR(B339/$B$342,0)</f>
        <v>0</v>
      </c>
    </row>
    <row r="340" spans="1:3">
      <c r="A340" s="6" t="s">
        <v>309</v>
      </c>
      <c r="B340" s="8">
        <f>COUNTIF(الإجابات!$DP$4:$DP$303,"ربما، أريد أن أرى أولًا")</f>
        <v>0</v>
      </c>
      <c r="C340" s="10">
        <f>IFERROR(B340/$B$342,0)</f>
        <v>0</v>
      </c>
    </row>
    <row r="341" spans="1:3">
      <c r="A341" s="6" t="s">
        <v>189</v>
      </c>
      <c r="B341" s="8">
        <f>COUNTIF(الإجابات!$DP$4:$DP$303,"لا")</f>
        <v>0</v>
      </c>
      <c r="C341" s="10">
        <f>IFERROR(B341/$B$342,0)</f>
        <v>0</v>
      </c>
    </row>
    <row r="342" spans="1:3">
      <c r="A342" s="13" t="s">
        <v>221</v>
      </c>
      <c r="B342" s="8">
        <f>COUNTA(الإجابات!$DP$4:$DP$303)</f>
        <v>0</v>
      </c>
    </row>
    <row r="343" ht="24" customHeight="1" spans="1:3">
      <c r="A343" s="5" t="s">
        <v>62</v>
      </c>
    </row>
    <row r="344" spans="1:3">
      <c r="A344" s="9" t="s">
        <v>215</v>
      </c>
      <c r="B344" s="9" t="s">
        <v>216</v>
      </c>
      <c r="C344" s="9" t="s">
        <v>217</v>
      </c>
    </row>
    <row r="345" spans="1:3">
      <c r="A345" s="6" t="s">
        <v>166</v>
      </c>
      <c r="B345" s="8">
        <f>COUNTIF(الإجابات!$DQ$4:$DQ$303,"نعم")</f>
        <v>0</v>
      </c>
      <c r="C345" s="10">
        <f>IFERROR(B345/$B$347,0)</f>
        <v>0</v>
      </c>
    </row>
    <row r="346" spans="1:3">
      <c r="A346" s="6" t="s">
        <v>189</v>
      </c>
      <c r="B346" s="8">
        <f>COUNTIF(الإجابات!$DQ$4:$DQ$303,"لا")</f>
        <v>0</v>
      </c>
      <c r="C346" s="10">
        <f>IFERROR(B346/$B$347,0)</f>
        <v>0</v>
      </c>
    </row>
    <row r="347" spans="1:3">
      <c r="A347" s="13" t="s">
        <v>221</v>
      </c>
      <c r="B347" s="8">
        <f>COUNTA(الإجابات!$DQ$4:$DQ$303)</f>
        <v>0</v>
      </c>
    </row>
    <row r="348" ht="24" customHeight="1" spans="1:3">
      <c r="A348" s="5" t="s">
        <v>64</v>
      </c>
    </row>
    <row r="349" ht="24" customHeight="1" spans="1:3">
      <c r="A349" s="5" t="s">
        <v>155</v>
      </c>
    </row>
    <row r="350" spans="1:3">
      <c r="A350" s="9" t="s">
        <v>215</v>
      </c>
      <c r="B350" s="9" t="s">
        <v>216</v>
      </c>
      <c r="C350" s="9" t="s">
        <v>217</v>
      </c>
    </row>
    <row r="351" spans="1:3">
      <c r="A351" s="6" t="s">
        <v>310</v>
      </c>
      <c r="B351" s="8">
        <f>COUNTIF(الإجابات!$DU$4:$DU$303,"صغير")</f>
        <v>0</v>
      </c>
      <c r="C351" s="10">
        <f>IFERROR(B351/$B$354,0)</f>
        <v>0</v>
      </c>
    </row>
    <row r="352" spans="1:3">
      <c r="A352" s="6" t="s">
        <v>196</v>
      </c>
      <c r="B352" s="8">
        <f>COUNTIF(الإجابات!$DU$4:$DU$303,"متوسط")</f>
        <v>0</v>
      </c>
      <c r="C352" s="10">
        <f>IFERROR(B352/$B$354,0)</f>
        <v>0</v>
      </c>
    </row>
    <row r="353" spans="1:3">
      <c r="A353" s="6" t="s">
        <v>311</v>
      </c>
      <c r="B353" s="8">
        <f>COUNTIF(الإجابات!$DU$4:$DU$303,"كبير")</f>
        <v>0</v>
      </c>
      <c r="C353" s="10">
        <f>IFERROR(B353/$B$354,0)</f>
        <v>0</v>
      </c>
    </row>
    <row r="354" spans="1:3">
      <c r="A354" s="13" t="s">
        <v>221</v>
      </c>
      <c r="B354" s="8">
        <f>COUNTA(الإجابات!$DU$4:$DU$303)</f>
        <v>0</v>
      </c>
    </row>
    <row r="355" ht="24" customHeight="1" spans="1:3">
      <c r="A355" s="5" t="s">
        <v>156</v>
      </c>
    </row>
    <row r="356" spans="1:3">
      <c r="A356" s="9" t="s">
        <v>215</v>
      </c>
      <c r="B356" s="9" t="s">
        <v>216</v>
      </c>
      <c r="C356" s="9" t="s">
        <v>217</v>
      </c>
    </row>
    <row r="357" spans="1:3">
      <c r="A357" s="6" t="s">
        <v>312</v>
      </c>
      <c r="B357" s="8">
        <f>COUNTIF(الإجابات!$DV$4:$DV$303,"منظم")</f>
        <v>0</v>
      </c>
      <c r="C357" s="10">
        <f>IFERROR(B357/$B$360,0)</f>
        <v>0</v>
      </c>
    </row>
    <row r="358" spans="1:3">
      <c r="A358" s="6" t="s">
        <v>196</v>
      </c>
      <c r="B358" s="8">
        <f>COUNTIF(الإجابات!$DV$4:$DV$303,"متوسط")</f>
        <v>0</v>
      </c>
      <c r="C358" s="10">
        <f>IFERROR(B358/$B$360,0)</f>
        <v>0</v>
      </c>
    </row>
    <row r="359" spans="1:3">
      <c r="A359" s="6" t="s">
        <v>197</v>
      </c>
      <c r="B359" s="8">
        <f>COUNTIF(الإجابات!$DV$4:$DV$303,"غير منظم")</f>
        <v>0</v>
      </c>
      <c r="C359" s="10">
        <f>IFERROR(B359/$B$360,0)</f>
        <v>0</v>
      </c>
    </row>
    <row r="360" spans="1:3">
      <c r="A360" s="13" t="s">
        <v>221</v>
      </c>
      <c r="B360" s="8">
        <f>COUNTA(الإجابات!$DV$4:$DV$303)</f>
        <v>0</v>
      </c>
    </row>
    <row r="361" ht="24" customHeight="1" spans="1:3">
      <c r="A361" s="5" t="s">
        <v>157</v>
      </c>
    </row>
    <row r="362" spans="1:3">
      <c r="A362" s="9" t="s">
        <v>215</v>
      </c>
      <c r="B362" s="9" t="s">
        <v>216</v>
      </c>
      <c r="C362" s="9" t="s">
        <v>217</v>
      </c>
    </row>
    <row r="363" spans="1:3">
      <c r="A363" s="6" t="s">
        <v>313</v>
      </c>
      <c r="B363" s="8">
        <f>COUNTIF(الإجابات!$DW$4:$DW$303,"عالية")</f>
        <v>0</v>
      </c>
      <c r="C363" s="10">
        <f>IFERROR(B363/$B$366,0)</f>
        <v>0</v>
      </c>
    </row>
    <row r="364" spans="1:3">
      <c r="A364" s="6" t="s">
        <v>198</v>
      </c>
      <c r="B364" s="8">
        <f>COUNTIF(الإجابات!$DW$4:$DW$303,"متوسطة")</f>
        <v>0</v>
      </c>
      <c r="C364" s="10">
        <f>IFERROR(B364/$B$366,0)</f>
        <v>0</v>
      </c>
    </row>
    <row r="365" spans="1:3">
      <c r="A365" s="6" t="s">
        <v>314</v>
      </c>
      <c r="B365" s="8">
        <f>COUNTIF(الإجابات!$DW$4:$DW$303,"ضعيفة")</f>
        <v>0</v>
      </c>
      <c r="C365" s="10">
        <f>IFERROR(B365/$B$366,0)</f>
        <v>0</v>
      </c>
    </row>
    <row r="366" spans="1:3">
      <c r="A366" s="13" t="s">
        <v>221</v>
      </c>
      <c r="B366" s="8">
        <f>COUNTA(الإجابات!$DW$4:$DW$303)</f>
        <v>0</v>
      </c>
    </row>
    <row r="367" ht="24" customHeight="1" spans="1:3">
      <c r="A367" s="5" t="s">
        <v>158</v>
      </c>
    </row>
    <row r="368" spans="1:3">
      <c r="A368" s="9" t="s">
        <v>215</v>
      </c>
      <c r="B368" s="9" t="s">
        <v>216</v>
      </c>
      <c r="C368" s="9" t="s">
        <v>217</v>
      </c>
    </row>
    <row r="369" spans="1:3">
      <c r="A369" s="6" t="s">
        <v>315</v>
      </c>
      <c r="B369" s="8">
        <f>COUNTIF(الإجابات!$DX$4:$DX$303,"مؤثر")</f>
        <v>0</v>
      </c>
      <c r="C369" s="10">
        <f>IFERROR(B369/$B$371,0)</f>
        <v>0</v>
      </c>
    </row>
    <row r="370" spans="1:3">
      <c r="A370" s="6" t="s">
        <v>199</v>
      </c>
      <c r="B370" s="8">
        <f>COUNTIF(الإجابات!$DX$4:$DX$303,"عادي")</f>
        <v>0</v>
      </c>
      <c r="C370" s="10">
        <f>IFERROR(B370/$B$371,0)</f>
        <v>0</v>
      </c>
    </row>
    <row r="371" spans="1:3">
      <c r="A371" s="13" t="s">
        <v>221</v>
      </c>
      <c r="B371" s="8">
        <f>COUNTA(الإجابات!$DX$4:$DX$303)</f>
        <v>0</v>
      </c>
    </row>
    <row r="372" ht="24" customHeight="1" spans="1:3">
      <c r="A372" s="5" t="s">
        <v>159</v>
      </c>
    </row>
    <row r="373" spans="1:3">
      <c r="A373" s="9" t="s">
        <v>215</v>
      </c>
      <c r="B373" s="9" t="s">
        <v>216</v>
      </c>
      <c r="C373" s="9" t="s">
        <v>217</v>
      </c>
    </row>
    <row r="374" spans="1:3">
      <c r="A374" s="6" t="s">
        <v>316</v>
      </c>
      <c r="B374" s="8">
        <f>COUNTIF(الإجابات!$DY$4:$DY$303,"عالٍ")</f>
        <v>0</v>
      </c>
      <c r="C374" s="10">
        <f>IFERROR(B374/$B$377,0)</f>
        <v>0</v>
      </c>
    </row>
    <row r="375" spans="1:3">
      <c r="A375" s="6" t="s">
        <v>196</v>
      </c>
      <c r="B375" s="8">
        <f>COUNTIF(الإجابات!$DY$4:$DY$303,"متوسط")</f>
        <v>0</v>
      </c>
      <c r="C375" s="10">
        <f>IFERROR(B375/$B$377,0)</f>
        <v>0</v>
      </c>
    </row>
    <row r="376" spans="1:3">
      <c r="A376" s="6" t="s">
        <v>200</v>
      </c>
      <c r="B376" s="8">
        <f>COUNTIF(الإجابات!$DY$4:$DY$303,"ضعيف")</f>
        <v>0</v>
      </c>
      <c r="C376" s="10">
        <f>IFERROR(B376/$B$377,0)</f>
        <v>0</v>
      </c>
    </row>
    <row r="377" spans="1:3">
      <c r="A377" s="13" t="s">
        <v>221</v>
      </c>
      <c r="B377" s="8">
        <f>COUNTA(الإجابات!$DY$4:$DY$303)</f>
        <v>0</v>
      </c>
    </row>
    <row r="378" ht="24" customHeight="1" spans="1:3">
      <c r="A378" s="5" t="s">
        <v>160</v>
      </c>
    </row>
    <row r="379" spans="1:3">
      <c r="A379" s="9" t="s">
        <v>215</v>
      </c>
      <c r="B379" s="9" t="s">
        <v>216</v>
      </c>
      <c r="C379" s="9" t="s">
        <v>217</v>
      </c>
    </row>
    <row r="380" spans="1:3">
      <c r="A380" s="6" t="s">
        <v>166</v>
      </c>
      <c r="B380" s="8">
        <f>COUNTIF(الإجابات!$DZ$4:$DZ$303,"نعم")</f>
        <v>0</v>
      </c>
      <c r="C380" s="10">
        <f>IFERROR(B380/$B$382,0)</f>
        <v>0</v>
      </c>
    </row>
    <row r="381" spans="1:3">
      <c r="A381" s="6" t="s">
        <v>189</v>
      </c>
      <c r="B381" s="8">
        <f>COUNTIF(الإجابات!$DZ$4:$DZ$303,"لا")</f>
        <v>0</v>
      </c>
      <c r="C381" s="10">
        <f>IFERROR(B381/$B$382,0)</f>
        <v>0</v>
      </c>
    </row>
    <row r="382" spans="1:3">
      <c r="A382" s="13" t="s">
        <v>221</v>
      </c>
      <c r="B382" s="8">
        <f>COUNTA(الإجابات!$DZ$4:$DZ$303)</f>
        <v>0</v>
      </c>
    </row>
  </sheetData>
  <mergeCells count="69">
    <mergeCell ref="A1:F1"/>
    <mergeCell ref="A3:F3"/>
    <mergeCell ref="A6:F6"/>
    <mergeCell ref="A7:F7"/>
    <mergeCell ref="A28:F28"/>
    <mergeCell ref="A36:F36"/>
    <mergeCell ref="A46:F46"/>
    <mergeCell ref="A53:F53"/>
    <mergeCell ref="A60:F60"/>
    <mergeCell ref="A67:F67"/>
    <mergeCell ref="A74:F74"/>
    <mergeCell ref="A75:F75"/>
    <mergeCell ref="A89:F89"/>
    <mergeCell ref="A90:F90"/>
    <mergeCell ref="A95:F95"/>
    <mergeCell ref="A96:F96"/>
    <mergeCell ref="A106:F106"/>
    <mergeCell ref="A114:F114"/>
    <mergeCell ref="A121:F121"/>
    <mergeCell ref="A122:F122"/>
    <mergeCell ref="A130:F130"/>
    <mergeCell ref="A131:F131"/>
    <mergeCell ref="A137:F137"/>
    <mergeCell ref="A144:F144"/>
    <mergeCell ref="A151:F151"/>
    <mergeCell ref="A158:F158"/>
    <mergeCell ref="A165:F165"/>
    <mergeCell ref="A172:F172"/>
    <mergeCell ref="A179:F179"/>
    <mergeCell ref="A186:F186"/>
    <mergeCell ref="A193:F193"/>
    <mergeCell ref="A200:F200"/>
    <mergeCell ref="A206:F206"/>
    <mergeCell ref="A207:F207"/>
    <mergeCell ref="A213:F213"/>
    <mergeCell ref="A214:F214"/>
    <mergeCell ref="A222:F222"/>
    <mergeCell ref="A228:F228"/>
    <mergeCell ref="A234:F234"/>
    <mergeCell ref="A241:F241"/>
    <mergeCell ref="A247:F247"/>
    <mergeCell ref="A248:F248"/>
    <mergeCell ref="A251:F251"/>
    <mergeCell ref="A257:F257"/>
    <mergeCell ref="A263:F263"/>
    <mergeCell ref="A264:F264"/>
    <mergeCell ref="A272:F272"/>
    <mergeCell ref="A278:F278"/>
    <mergeCell ref="A287:F287"/>
    <mergeCell ref="A293:F293"/>
    <mergeCell ref="A294:F294"/>
    <mergeCell ref="A297:F297"/>
    <mergeCell ref="A298:F298"/>
    <mergeCell ref="A301:F301"/>
    <mergeCell ref="A302:F302"/>
    <mergeCell ref="A305:F305"/>
    <mergeCell ref="A314:F314"/>
    <mergeCell ref="A315:F315"/>
    <mergeCell ref="A326:F326"/>
    <mergeCell ref="A327:F327"/>
    <mergeCell ref="A337:F337"/>
    <mergeCell ref="A343:F343"/>
    <mergeCell ref="A348:F348"/>
    <mergeCell ref="A349:F349"/>
    <mergeCell ref="A355:F355"/>
    <mergeCell ref="A361:F361"/>
    <mergeCell ref="A367:F367"/>
    <mergeCell ref="A372:F372"/>
    <mergeCell ref="A378:F37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"/>
  <sheetViews>
    <sheetView showGridLines="0" rightToLeft="1" workbookViewId="0">
      <selection activeCell="A1" sqref="A1"/>
    </sheetView>
  </sheetViews>
  <sheetFormatPr defaultColWidth="9" defaultRowHeight="14.4" outlineLevelRow="5"/>
  <cols>
    <col min="1" max="35" width="30" customWidth="1"/>
  </cols>
  <sheetData>
    <row r="1" spans="1:35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330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338</v>
      </c>
      <c r="W1" s="1" t="s">
        <v>339</v>
      </c>
      <c r="X1" s="1" t="s">
        <v>340</v>
      </c>
      <c r="Y1" s="1" t="s">
        <v>341</v>
      </c>
      <c r="Z1" s="1" t="s">
        <v>342</v>
      </c>
      <c r="AA1" s="1" t="s">
        <v>343</v>
      </c>
      <c r="AB1" s="1" t="s">
        <v>344</v>
      </c>
      <c r="AC1" s="1" t="s">
        <v>345</v>
      </c>
      <c r="AD1" s="1" t="s">
        <v>155</v>
      </c>
      <c r="AE1" s="1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</row>
    <row r="2" spans="1:35">
      <c r="A2" s="2" t="s">
        <v>166</v>
      </c>
      <c r="B2" s="2" t="s">
        <v>236</v>
      </c>
      <c r="C2" s="2" t="s">
        <v>239</v>
      </c>
      <c r="D2" s="2" t="s">
        <v>242</v>
      </c>
      <c r="E2" s="2" t="s">
        <v>170</v>
      </c>
      <c r="F2" s="2" t="s">
        <v>171</v>
      </c>
      <c r="G2" s="2" t="s">
        <v>178</v>
      </c>
      <c r="H2" s="2" t="s">
        <v>173</v>
      </c>
      <c r="I2" s="2" t="s">
        <v>174</v>
      </c>
      <c r="J2" s="2" t="s">
        <v>262</v>
      </c>
      <c r="K2" s="2" t="s">
        <v>177</v>
      </c>
      <c r="L2" s="2" t="s">
        <v>266</v>
      </c>
      <c r="M2" s="2" t="s">
        <v>179</v>
      </c>
      <c r="N2" s="2" t="s">
        <v>185</v>
      </c>
      <c r="O2" s="2" t="s">
        <v>181</v>
      </c>
      <c r="P2" s="2" t="s">
        <v>276</v>
      </c>
      <c r="Q2" s="2" t="s">
        <v>285</v>
      </c>
      <c r="R2" s="2" t="s">
        <v>287</v>
      </c>
      <c r="S2" s="2" t="s">
        <v>288</v>
      </c>
      <c r="T2" s="2" t="s">
        <v>185</v>
      </c>
      <c r="U2" s="2" t="s">
        <v>291</v>
      </c>
      <c r="V2" s="2" t="s">
        <v>293</v>
      </c>
      <c r="W2" s="2" t="s">
        <v>295</v>
      </c>
      <c r="X2" s="2" t="s">
        <v>302</v>
      </c>
      <c r="Y2" s="2" t="s">
        <v>306</v>
      </c>
      <c r="Z2" s="2" t="s">
        <v>218</v>
      </c>
      <c r="AA2" s="2" t="s">
        <v>223</v>
      </c>
      <c r="AB2" s="2" t="s">
        <v>308</v>
      </c>
      <c r="AC2" s="2" t="s">
        <v>166</v>
      </c>
      <c r="AD2" s="2" t="s">
        <v>310</v>
      </c>
      <c r="AE2" s="2" t="s">
        <v>312</v>
      </c>
      <c r="AF2" s="2" t="s">
        <v>313</v>
      </c>
      <c r="AG2" s="2" t="s">
        <v>315</v>
      </c>
      <c r="AH2" s="2" t="s">
        <v>316</v>
      </c>
      <c r="AI2" s="2" t="s">
        <v>166</v>
      </c>
    </row>
    <row r="3" spans="1:35">
      <c r="A3" s="2" t="s">
        <v>189</v>
      </c>
      <c r="B3" s="2" t="s">
        <v>237</v>
      </c>
      <c r="C3" s="2" t="s">
        <v>168</v>
      </c>
      <c r="D3" s="2" t="s">
        <v>243</v>
      </c>
      <c r="E3" s="2" t="s">
        <v>247</v>
      </c>
      <c r="F3" s="2" t="s">
        <v>251</v>
      </c>
      <c r="G3" s="2" t="s">
        <v>254</v>
      </c>
      <c r="H3" s="2" t="s">
        <v>256</v>
      </c>
      <c r="I3" s="2" t="s">
        <v>259</v>
      </c>
      <c r="J3" s="2" t="s">
        <v>176</v>
      </c>
      <c r="K3" s="2" t="s">
        <v>265</v>
      </c>
      <c r="L3" s="2" t="s">
        <v>267</v>
      </c>
      <c r="M3" s="2" t="s">
        <v>269</v>
      </c>
      <c r="N3" s="2" t="s">
        <v>180</v>
      </c>
      <c r="O3" s="2" t="s">
        <v>273</v>
      </c>
      <c r="P3" s="2" t="s">
        <v>277</v>
      </c>
      <c r="Q3" s="2" t="s">
        <v>286</v>
      </c>
      <c r="R3" s="2" t="s">
        <v>180</v>
      </c>
      <c r="S3" s="2" t="s">
        <v>184</v>
      </c>
      <c r="T3" s="2" t="s">
        <v>180</v>
      </c>
      <c r="U3" s="2" t="s">
        <v>292</v>
      </c>
      <c r="V3" s="2" t="s">
        <v>294</v>
      </c>
      <c r="W3" s="2" t="s">
        <v>296</v>
      </c>
      <c r="X3" s="2" t="s">
        <v>303</v>
      </c>
      <c r="Y3" s="2" t="s">
        <v>192</v>
      </c>
      <c r="Z3" s="2" t="s">
        <v>193</v>
      </c>
      <c r="AA3" s="2" t="s">
        <v>194</v>
      </c>
      <c r="AB3" s="2" t="s">
        <v>309</v>
      </c>
      <c r="AC3" s="2" t="s">
        <v>189</v>
      </c>
      <c r="AD3" s="2" t="s">
        <v>196</v>
      </c>
      <c r="AE3" s="2" t="s">
        <v>196</v>
      </c>
      <c r="AF3" s="2" t="s">
        <v>198</v>
      </c>
      <c r="AG3" s="2" t="s">
        <v>199</v>
      </c>
      <c r="AH3" s="2" t="s">
        <v>196</v>
      </c>
      <c r="AI3" s="2" t="s">
        <v>189</v>
      </c>
    </row>
    <row r="4" spans="1:35">
      <c r="B4" s="2" t="s">
        <v>167</v>
      </c>
      <c r="C4" s="2" t="s">
        <v>240</v>
      </c>
      <c r="D4" s="2" t="s">
        <v>244</v>
      </c>
      <c r="E4" s="2" t="s">
        <v>248</v>
      </c>
      <c r="F4" s="2" t="s">
        <v>252</v>
      </c>
      <c r="G4" s="2" t="s">
        <v>255</v>
      </c>
      <c r="H4" s="2" t="s">
        <v>257</v>
      </c>
      <c r="I4" s="2" t="s">
        <v>260</v>
      </c>
      <c r="J4" s="2" t="s">
        <v>263</v>
      </c>
      <c r="K4" s="2" t="s">
        <v>178</v>
      </c>
      <c r="L4" s="2" t="s">
        <v>268</v>
      </c>
      <c r="M4" s="2" t="s">
        <v>270</v>
      </c>
      <c r="N4" s="2" t="s">
        <v>178</v>
      </c>
      <c r="O4" s="2" t="s">
        <v>274</v>
      </c>
      <c r="P4" s="2" t="s">
        <v>182</v>
      </c>
      <c r="Q4" s="2" t="s">
        <v>183</v>
      </c>
      <c r="R4" s="2" t="s">
        <v>178</v>
      </c>
      <c r="S4" s="2" t="s">
        <v>289</v>
      </c>
      <c r="T4" s="2" t="s">
        <v>178</v>
      </c>
      <c r="U4" s="2" t="s">
        <v>187</v>
      </c>
      <c r="V4" s="2" t="s">
        <v>188</v>
      </c>
      <c r="W4" s="2" t="s">
        <v>189</v>
      </c>
      <c r="X4" s="2" t="s">
        <v>190</v>
      </c>
      <c r="Y4" s="2" t="s">
        <v>191</v>
      </c>
      <c r="Z4" s="2" t="s">
        <v>219</v>
      </c>
      <c r="AA4" s="2" t="s">
        <v>224</v>
      </c>
      <c r="AB4" s="2" t="s">
        <v>189</v>
      </c>
      <c r="AD4" s="2" t="s">
        <v>311</v>
      </c>
      <c r="AE4" s="2" t="s">
        <v>197</v>
      </c>
      <c r="AF4" s="2" t="s">
        <v>314</v>
      </c>
      <c r="AH4" s="2" t="s">
        <v>200</v>
      </c>
    </row>
    <row r="5" spans="1:35">
      <c r="B5" s="2" t="s">
        <v>238</v>
      </c>
      <c r="C5" s="2" t="s">
        <v>241</v>
      </c>
      <c r="D5" s="2" t="s">
        <v>169</v>
      </c>
      <c r="E5" s="2" t="s">
        <v>249</v>
      </c>
      <c r="F5" s="2" t="s">
        <v>253</v>
      </c>
      <c r="G5" s="2" t="s">
        <v>172</v>
      </c>
      <c r="H5" s="2" t="s">
        <v>258</v>
      </c>
      <c r="I5" s="2" t="s">
        <v>261</v>
      </c>
      <c r="J5" s="2" t="s">
        <v>264</v>
      </c>
      <c r="K5" s="2" t="s">
        <v>189</v>
      </c>
      <c r="L5" s="2" t="s">
        <v>178</v>
      </c>
      <c r="M5" s="2" t="s">
        <v>271</v>
      </c>
      <c r="N5" s="2" t="s">
        <v>272</v>
      </c>
      <c r="O5" s="2" t="s">
        <v>275</v>
      </c>
      <c r="S5" s="2" t="s">
        <v>250</v>
      </c>
      <c r="Z5" s="2" t="s">
        <v>220</v>
      </c>
      <c r="AA5" s="2" t="s">
        <v>225</v>
      </c>
    </row>
    <row r="6" spans="1:35">
      <c r="E6" s="2" t="s">
        <v>250</v>
      </c>
      <c r="AA6" s="2" t="s">
        <v>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تعليمات</vt:lpstr>
      <vt:lpstr>الإجابات</vt:lpstr>
      <vt:lpstr>الملخص</vt:lpstr>
      <vt:lpstr>القوائم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wdanwer</cp:lastModifiedBy>
  <dcterms:created xsi:type="dcterms:W3CDTF">2026-10-12T07:43:00Z</dcterms:created>
  <dcterms:modified xsi:type="dcterms:W3CDTF">2026-10-12T07:44:39Z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EEEBD20209174BD9814A519846C96396_12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